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ille de décision SS-5"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b val="1"/>
      <sz val="14"/>
    </font>
    <font>
      <b val="1"/>
      <sz val="12"/>
    </font>
    <font>
      <b val="1"/>
    </font>
    <font>
      <b val="1"/>
      <color rgb="00FFFFFF"/>
    </font>
    <font>
      <i val="1"/>
      <color rgb="00555555"/>
    </font>
  </fonts>
  <fills count="8">
    <fill>
      <patternFill/>
    </fill>
    <fill>
      <patternFill patternType="gray125"/>
    </fill>
    <fill>
      <patternFill patternType="solid">
        <fgColor rgb="00EEF2E0"/>
      </patternFill>
    </fill>
    <fill>
      <patternFill patternType="solid">
        <fgColor rgb="00CFC4A3"/>
      </patternFill>
    </fill>
    <fill>
      <patternFill patternType="solid">
        <fgColor rgb="00DDEDF4"/>
      </patternFill>
    </fill>
    <fill>
      <patternFill patternType="solid"/>
    </fill>
    <fill>
      <patternFill patternType="solid">
        <fgColor rgb="001F3249"/>
      </patternFill>
    </fill>
    <fill>
      <patternFill patternType="solid">
        <fgColor rgb="00D9D9D9"/>
      </patternFill>
    </fill>
  </fills>
  <borders count="2">
    <border>
      <left/>
      <right/>
      <top/>
      <bottom/>
      <diagonal/>
    </border>
    <border>
      <left style="thin">
        <color rgb="009A9A9A"/>
      </left>
      <right style="thin">
        <color rgb="009A9A9A"/>
      </right>
      <top style="thin">
        <color rgb="009A9A9A"/>
      </top>
      <bottom style="thin">
        <color rgb="009A9A9A"/>
      </bottom>
    </border>
  </borders>
  <cellStyleXfs count="1">
    <xf numFmtId="0" fontId="0" fillId="0" borderId="0"/>
  </cellStyleXfs>
  <cellXfs count="38">
    <xf numFmtId="0" fontId="0" fillId="0" borderId="0" pivotButton="0" quotePrefix="0" xfId="0"/>
    <xf numFmtId="0" fontId="1" fillId="0" borderId="0" pivotButton="0" quotePrefix="0" xfId="0"/>
    <xf numFmtId="0" fontId="0" fillId="5" borderId="0" pivotButton="0" quotePrefix="0" xfId="0"/>
    <xf numFmtId="0" fontId="2" fillId="0" borderId="0" applyAlignment="1" pivotButton="0" quotePrefix="0" xfId="0">
      <alignment horizontal="center"/>
    </xf>
    <xf numFmtId="0" fontId="4" fillId="5" borderId="0" applyAlignment="1" pivotButton="0" quotePrefix="0" xfId="0">
      <alignment horizontal="center" vertical="center" textRotation="90"/>
    </xf>
    <xf numFmtId="164" fontId="3" fillId="0" borderId="0" pivotButton="0" quotePrefix="0" xfId="0"/>
    <xf numFmtId="0" fontId="3" fillId="2" borderId="1" applyAlignment="1" pivotButton="0" quotePrefix="0" xfId="0">
      <alignment horizontal="center"/>
    </xf>
    <xf numFmtId="0" fontId="0" fillId="2" borderId="1" pivotButton="0" quotePrefix="0" xfId="0"/>
    <xf numFmtId="0" fontId="3" fillId="3" borderId="1" applyAlignment="1" pivotButton="0" quotePrefix="0" xfId="0">
      <alignment horizontal="center"/>
    </xf>
    <xf numFmtId="0" fontId="0" fillId="3" borderId="1" pivotButton="0" quotePrefix="0" xfId="0"/>
    <xf numFmtId="0" fontId="3" fillId="4" borderId="1" applyAlignment="1" pivotButton="0" quotePrefix="0" xfId="0">
      <alignment horizontal="center"/>
    </xf>
    <xf numFmtId="0" fontId="0" fillId="4" borderId="1" pivotButton="0" quotePrefix="0" xfId="0"/>
    <xf numFmtId="0" fontId="4" fillId="6" borderId="1" applyAlignment="1" pivotButton="0" quotePrefix="0" xfId="0">
      <alignment horizontal="center" vertical="center" wrapText="1"/>
    </xf>
    <xf numFmtId="0" fontId="3" fillId="2" borderId="1" applyAlignment="1" pivotButton="0" quotePrefix="0" xfId="0">
      <alignment vertical="bottom" wrapText="1"/>
    </xf>
    <xf numFmtId="0" fontId="3" fillId="3" borderId="1" applyAlignment="1" pivotButton="0" quotePrefix="0" xfId="0">
      <alignment vertical="bottom" wrapText="1"/>
    </xf>
    <xf numFmtId="0" fontId="3" fillId="4" borderId="1" applyAlignment="1" pivotButton="0" quotePrefix="0" xfId="0">
      <alignment vertical="bottom" wrapText="1"/>
    </xf>
    <xf numFmtId="0" fontId="3" fillId="7" borderId="1" applyAlignment="1" pivotButton="0" quotePrefix="0" xfId="0">
      <alignment horizontal="center"/>
    </xf>
    <xf numFmtId="0" fontId="3" fillId="7" borderId="1" pivotButton="0" quotePrefix="0" xfId="0"/>
    <xf numFmtId="9" fontId="3" fillId="7" borderId="1" pivotButton="0" quotePrefix="0" xfId="0"/>
    <xf numFmtId="165" fontId="3" fillId="7" borderId="1" pivotButton="0" quotePrefix="0" xfId="0"/>
    <xf numFmtId="164" fontId="3" fillId="7" borderId="1" pivotButton="0" quotePrefix="0" xfId="0"/>
    <xf numFmtId="0" fontId="0" fillId="0" borderId="1" applyAlignment="1" pivotButton="0" quotePrefix="0" xfId="0">
      <alignment horizontal="center"/>
    </xf>
    <xf numFmtId="0" fontId="0" fillId="0" borderId="1" pivotButton="0" quotePrefix="0" xfId="0"/>
    <xf numFmtId="9" fontId="0" fillId="0" borderId="1" pivotButton="0" quotePrefix="0" xfId="0"/>
    <xf numFmtId="165" fontId="0" fillId="2" borderId="1" pivotButton="0" quotePrefix="0" xfId="0"/>
    <xf numFmtId="164" fontId="0" fillId="2" borderId="1" pivotButton="0" quotePrefix="0" xfId="0"/>
    <xf numFmtId="165" fontId="0" fillId="3" borderId="1" pivotButton="0" quotePrefix="0" xfId="0"/>
    <xf numFmtId="164" fontId="0" fillId="3" borderId="1" pivotButton="0" quotePrefix="0" xfId="0"/>
    <xf numFmtId="165" fontId="0" fillId="4" borderId="1" pivotButton="0" quotePrefix="0" xfId="0"/>
    <xf numFmtId="164" fontId="0" fillId="4" borderId="1" pivotButton="0" quotePrefix="0" xfId="0"/>
    <xf numFmtId="0" fontId="3" fillId="0" borderId="1" pivotButton="0" quotePrefix="0" xfId="0"/>
    <xf numFmtId="0" fontId="3" fillId="2" borderId="1" pivotButton="0" quotePrefix="0" xfId="0"/>
    <xf numFmtId="0" fontId="3" fillId="3" borderId="1" pivotButton="0" quotePrefix="0" xfId="0"/>
    <xf numFmtId="0" fontId="3" fillId="4" borderId="1" pivotButton="0" quotePrefix="0" xfId="0"/>
    <xf numFmtId="0" fontId="3" fillId="0" borderId="0" applyAlignment="1" pivotButton="0" quotePrefix="0" xfId="0">
      <alignment horizontal="right"/>
    </xf>
    <xf numFmtId="9" fontId="3" fillId="0" borderId="0" pivotButton="0" quotePrefix="0" xfId="0"/>
    <xf numFmtId="164" fontId="3" fillId="0"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44" customWidth="1" min="3" max="3"/>
    <col width="9" customWidth="1" min="4" max="4"/>
    <col width="3.5" customWidth="1" min="5" max="5"/>
    <col width="9" customWidth="1" min="6" max="6"/>
    <col width="10" customWidth="1" min="7" max="7"/>
    <col width="46" customWidth="1" min="8" max="8"/>
    <col width="3.5" customWidth="1" min="9" max="9"/>
    <col width="9" customWidth="1" min="10" max="10"/>
    <col width="10" customWidth="1" min="11" max="11"/>
    <col width="46" customWidth="1" min="12" max="12"/>
    <col width="3.5" customWidth="1" min="13" max="13"/>
    <col width="9" customWidth="1" min="14" max="14"/>
    <col width="10" customWidth="1" min="15" max="15"/>
    <col width="46" customWidth="1" min="16" max="16"/>
  </cols>
  <sheetData>
    <row r="1">
      <c r="A1" s="1" t="inlineStr">
        <is>
          <t>SS-5 — Présentation à l'opérateur</t>
        </is>
      </c>
      <c r="E1" s="2" t="n"/>
      <c r="F1" s="3" t="inlineStr">
        <is>
          <t>Solution préférée</t>
        </is>
      </c>
      <c r="I1" s="2" t="n"/>
      <c r="J1" s="3" t="inlineStr">
        <is>
          <t>ALTERNATIVES</t>
        </is>
      </c>
      <c r="M1" s="2" t="n"/>
    </row>
    <row r="2">
      <c r="E2" s="4" t="inlineStr">
        <is>
          <t>Solution #1</t>
        </is>
      </c>
      <c r="F2" s="5">
        <f>G22</f>
        <v/>
      </c>
      <c r="I2" s="4" t="inlineStr">
        <is>
          <t>Solution #2</t>
        </is>
      </c>
      <c r="J2" s="5">
        <f>K22</f>
        <v/>
      </c>
      <c r="M2" s="4" t="inlineStr">
        <is>
          <t>Solution #3</t>
        </is>
      </c>
      <c r="N2" s="5">
        <f>O22</f>
        <v/>
      </c>
    </row>
    <row r="3">
      <c r="F3" s="6" t="inlineStr">
        <is>
          <t>Concept B — par état de la boucle</t>
        </is>
      </c>
      <c r="G3" s="7" t="n"/>
      <c r="H3" s="7" t="n"/>
      <c r="J3" s="8" t="inlineStr">
        <is>
          <t>Concept C — par hypothèse de défaillance</t>
        </is>
      </c>
      <c r="K3" s="9" t="n"/>
      <c r="L3" s="9" t="n"/>
      <c r="N3" s="10" t="inlineStr">
        <is>
          <t>Concept A — par variable</t>
        </is>
      </c>
      <c r="O3" s="11" t="n"/>
      <c r="P3" s="11" t="n"/>
    </row>
    <row r="4" ht="32" customHeight="1">
      <c r="A4" t="inlineStr">
        <is>
          <t>Priorité</t>
        </is>
      </c>
      <c r="B4" s="12" t="inlineStr">
        <is>
          <t>No Item</t>
        </is>
      </c>
      <c r="C4" s="12" t="inlineStr">
        <is>
          <t>Critère de décision</t>
        </is>
      </c>
      <c r="D4" s="12" t="inlineStr">
        <is>
          <t>Poids</t>
        </is>
      </c>
      <c r="F4" s="13" t="inlineStr">
        <is>
          <t>Pointage /10</t>
        </is>
      </c>
      <c r="G4" s="13" t="inlineStr">
        <is>
          <t>Résultat pondéré</t>
        </is>
      </c>
      <c r="H4" s="13" t="inlineStr">
        <is>
          <t>Commentaires</t>
        </is>
      </c>
      <c r="J4" s="14" t="inlineStr">
        <is>
          <t>Pointage /10</t>
        </is>
      </c>
      <c r="K4" s="14" t="inlineStr">
        <is>
          <t>Résultat pondéré</t>
        </is>
      </c>
      <c r="L4" s="14" t="inlineStr">
        <is>
          <t>Commentaires</t>
        </is>
      </c>
      <c r="N4" s="15" t="inlineStr">
        <is>
          <t>Pointage /10</t>
        </is>
      </c>
      <c r="O4" s="15" t="inlineStr">
        <is>
          <t>Résultat pondéré</t>
        </is>
      </c>
      <c r="P4" s="15" t="inlineStr">
        <is>
          <t>Commentaires</t>
        </is>
      </c>
    </row>
    <row r="5">
      <c r="B5" s="16" t="n">
        <v>1</v>
      </c>
      <c r="C5" s="17" t="inlineStr">
        <is>
          <t>Traçabilité de la conclusion (EX-F-05)</t>
        </is>
      </c>
      <c r="D5" s="18">
        <f>SUM(D6:D7)</f>
        <v/>
      </c>
      <c r="E5" s="2" t="n"/>
      <c r="F5" s="19">
        <f>SUM(F6:F7)</f>
        <v/>
      </c>
      <c r="G5" s="20">
        <f>SUM(G6:G7)</f>
        <v/>
      </c>
      <c r="H5" s="17" t="n"/>
      <c r="I5" s="2" t="n"/>
      <c r="J5" s="19">
        <f>SUM(J6:J7)</f>
        <v/>
      </c>
      <c r="K5" s="20">
        <f>SUM(K6:K7)</f>
        <v/>
      </c>
      <c r="L5" s="17" t="n"/>
      <c r="M5" s="2" t="n"/>
      <c r="N5" s="19">
        <f>SUM(N6:N7)</f>
        <v/>
      </c>
      <c r="O5" s="20">
        <f>SUM(O6:O7)</f>
        <v/>
      </c>
      <c r="P5" s="17" t="n"/>
    </row>
    <row r="6">
      <c r="B6" s="21" t="inlineStr">
        <is>
          <t>1.1</t>
        </is>
      </c>
      <c r="C6" s="22" t="inlineStr">
        <is>
          <t>Nb d'interactions pour atteindre les variables contributrices</t>
        </is>
      </c>
      <c r="D6" s="23" t="n">
        <v>0.15</v>
      </c>
      <c r="E6" s="2" t="n"/>
      <c r="F6" s="24" t="n">
        <v>7.5</v>
      </c>
      <c r="G6" s="25">
        <f>IF(F6="","",F6/10*$D6)</f>
        <v/>
      </c>
      <c r="H6" s="7" t="inlineStr">
        <is>
          <t>1 clic sur l'état → niveau 2, contributrices encadrées</t>
        </is>
      </c>
      <c r="I6" s="2" t="n"/>
      <c r="J6" s="26" t="n">
        <v>7.5</v>
      </c>
      <c r="K6" s="27">
        <f>IF(J6="","",J6/10*$D6)</f>
        <v/>
      </c>
      <c r="L6" s="9" t="inlineStr">
        <is>
          <t>1 geste de la zone 1 vers les zones 2 et 3</t>
        </is>
      </c>
      <c r="M6" s="2" t="n"/>
      <c r="N6" s="28" t="n">
        <v>10</v>
      </c>
      <c r="O6" s="29">
        <f>IF(N6="","",N6/10*$D6)</f>
        <v/>
      </c>
      <c r="P6" s="11" t="inlineStr">
        <is>
          <t>0 interaction : visibles en permanence sur les tuiles</t>
        </is>
      </c>
    </row>
    <row r="7">
      <c r="B7" s="21" t="inlineStr">
        <is>
          <t>1.2</t>
        </is>
      </c>
      <c r="C7" s="22" t="inlineStr">
        <is>
          <t>Temps d'accès au détail</t>
        </is>
      </c>
      <c r="D7" s="23" t="n">
        <v>0.1</v>
      </c>
      <c r="E7" s="2" t="n"/>
      <c r="F7" s="24" t="n">
        <v>10</v>
      </c>
      <c r="G7" s="25">
        <f>IF(F7="","",F7/10*$D7)</f>
        <v/>
      </c>
      <c r="H7" s="7" t="inlineStr">
        <is>
          <t>&lt; 1 s : vue de détail préchargée à chaque cycle</t>
        </is>
      </c>
      <c r="I7" s="2" t="n"/>
      <c r="J7" s="26" t="n">
        <v>7.5</v>
      </c>
      <c r="K7" s="27">
        <f>IF(J7="","",J7/10*$D7)</f>
        <v/>
      </c>
      <c r="L7" s="9" t="inlineStr">
        <is>
          <t>Non spécifié — hypothèse 1 à 2 s, à préciser</t>
        </is>
      </c>
      <c r="M7" s="2" t="n"/>
      <c r="N7" s="28" t="n">
        <v>10</v>
      </c>
      <c r="O7" s="29">
        <f>IF(N7="","",N7/10*$D7)</f>
        <v/>
      </c>
      <c r="P7" s="11" t="inlineStr">
        <is>
          <t>Immédiat : détail déjà à l'écran</t>
        </is>
      </c>
    </row>
    <row r="8">
      <c r="B8" s="16" t="n">
        <v>2</v>
      </c>
      <c r="C8" s="17" t="inlineStr">
        <is>
          <t>Traitement de l'incertitude (EX-F-06)</t>
        </is>
      </c>
      <c r="D8" s="18">
        <f>SUM(D9:D10)</f>
        <v/>
      </c>
      <c r="E8" s="2" t="n"/>
      <c r="F8" s="19">
        <f>SUM(F9:F10)</f>
        <v/>
      </c>
      <c r="G8" s="20">
        <f>SUM(G9:G10)</f>
        <v/>
      </c>
      <c r="H8" s="17" t="n"/>
      <c r="I8" s="2" t="n"/>
      <c r="J8" s="19">
        <f>SUM(J9:J10)</f>
        <v/>
      </c>
      <c r="K8" s="20">
        <f>SUM(K9:K10)</f>
        <v/>
      </c>
      <c r="L8" s="17" t="n"/>
      <c r="M8" s="2" t="n"/>
      <c r="N8" s="19">
        <f>SUM(N9:N10)</f>
        <v/>
      </c>
      <c r="O8" s="20">
        <f>SUM(O9:O10)</f>
        <v/>
      </c>
      <c r="P8" s="17" t="n"/>
    </row>
    <row r="9">
      <c r="B9" s="21" t="inlineStr">
        <is>
          <t>2.1</t>
        </is>
      </c>
      <c r="C9" s="22" t="inlineStr">
        <is>
          <t>Statut de l'état « incertain »</t>
        </is>
      </c>
      <c r="D9" s="23" t="n">
        <v>0.1</v>
      </c>
      <c r="E9" s="2" t="n"/>
      <c r="F9" s="24" t="n">
        <v>10</v>
      </c>
      <c r="G9" s="25">
        <f>IF(F9="","",F9/10*$D9)</f>
        <v/>
      </c>
      <c r="H9" s="7" t="inlineStr">
        <is>
          <t>« Incertain » est un état de plein droit</t>
        </is>
      </c>
      <c r="I9" s="2" t="n"/>
      <c r="J9" s="26" t="n">
        <v>10</v>
      </c>
      <c r="K9" s="27">
        <f>IF(J9="","",J9/10*$D9)</f>
        <v/>
      </c>
      <c r="L9" s="9" t="inlineStr">
        <is>
          <t>« Indéterminé » au rang 1, aucun état normal affiché (N = 3 cycles)</t>
        </is>
      </c>
      <c r="M9" s="2" t="n"/>
      <c r="N9" s="28" t="n">
        <v>5</v>
      </c>
      <c r="O9" s="29">
        <f>IF(N9="","",N9/10*$D9)</f>
        <v/>
      </c>
      <c r="P9" s="11" t="inlineStr">
        <is>
          <t>Marge et confiance par variable seulement</t>
        </is>
      </c>
    </row>
    <row r="10">
      <c r="B10" s="21" t="inlineStr">
        <is>
          <t>2.2</t>
        </is>
      </c>
      <c r="C10" s="22" t="inlineStr">
        <is>
          <t>Nb de codages distincts de l'état (forme, couleur, libellé)</t>
        </is>
      </c>
      <c r="D10" s="23" t="n">
        <v>0.1</v>
      </c>
      <c r="E10" s="2" t="n"/>
      <c r="F10" s="24" t="n">
        <v>10</v>
      </c>
      <c r="G10" s="25">
        <f>IF(F10="","",F10/10*$D10)</f>
        <v/>
      </c>
      <c r="H10" s="7" t="inlineStr">
        <is>
          <t>3 codages : forme, couleur, libellé</t>
        </is>
      </c>
      <c r="I10" s="2" t="n"/>
      <c r="J10" s="26" t="n">
        <v>5</v>
      </c>
      <c r="K10" s="27">
        <f>IF(J10="","",J10/10*$D10)</f>
        <v/>
      </c>
      <c r="L10" s="9" t="inlineStr">
        <is>
          <t>Non spécifié — libellé + rang retenus (2), à confirmer</t>
        </is>
      </c>
      <c r="M10" s="2" t="n"/>
      <c r="N10" s="28" t="n">
        <v>5</v>
      </c>
      <c r="O10" s="29">
        <f>IF(N10="","",N10/10*$D10)</f>
        <v/>
      </c>
      <c r="P10" s="11" t="inlineStr">
        <is>
          <t>2 codages : couleur et position sur la barre</t>
        </is>
      </c>
    </row>
    <row r="11">
      <c r="B11" s="16" t="n">
        <v>3</v>
      </c>
      <c r="C11" s="17" t="inlineStr">
        <is>
          <t>Frontière de la commande (EX-F-08)</t>
        </is>
      </c>
      <c r="D11" s="18">
        <f>SUM(D12:D14)</f>
        <v/>
      </c>
      <c r="E11" s="2" t="n"/>
      <c r="F11" s="19">
        <f>SUM(F12:F14)</f>
        <v/>
      </c>
      <c r="G11" s="20">
        <f>SUM(G12:G14)</f>
        <v/>
      </c>
      <c r="H11" s="17" t="n"/>
      <c r="I11" s="2" t="n"/>
      <c r="J11" s="19">
        <f>SUM(J12:J14)</f>
        <v/>
      </c>
      <c r="K11" s="20">
        <f>SUM(K12:K14)</f>
        <v/>
      </c>
      <c r="L11" s="17" t="n"/>
      <c r="M11" s="2" t="n"/>
      <c r="N11" s="19">
        <f>SUM(N12:N14)</f>
        <v/>
      </c>
      <c r="O11" s="20">
        <f>SUM(O12:O14)</f>
        <v/>
      </c>
      <c r="P11" s="17" t="n"/>
    </row>
    <row r="12">
      <c r="B12" s="21" t="inlineStr">
        <is>
          <t>3.1</t>
        </is>
      </c>
      <c r="C12" s="22" t="inlineStr">
        <is>
          <t>Sorties émises vers l'installation</t>
        </is>
      </c>
      <c r="D12" s="23" t="n">
        <v>0.1</v>
      </c>
      <c r="E12" s="2" t="n"/>
      <c r="F12" s="24" t="n">
        <v>10</v>
      </c>
      <c r="G12" s="25">
        <f>IF(F12="","",F12/10*$D12)</f>
        <v/>
      </c>
      <c r="H12" s="7" t="inlineStr">
        <is>
          <t>0 : module de réception en lecture seule</t>
        </is>
      </c>
      <c r="I12" s="2" t="n"/>
      <c r="J12" s="26" t="n">
        <v>10</v>
      </c>
      <c r="K12" s="27">
        <f>IF(J12="","",J12/10*$D12)</f>
        <v/>
      </c>
      <c r="L12" s="9" t="inlineStr">
        <is>
          <t>0 : graphe d'importation vérifié à chaque intégration</t>
        </is>
      </c>
      <c r="M12" s="2" t="n"/>
      <c r="N12" s="28" t="n">
        <v>10</v>
      </c>
      <c r="O12" s="29">
        <f>IF(N12="","",N12/10*$D12)</f>
        <v/>
      </c>
      <c r="P12" s="11" t="inlineStr">
        <is>
          <t>0 : module de réception en lecture seule</t>
        </is>
      </c>
    </row>
    <row r="13">
      <c r="B13" s="21" t="inlineStr">
        <is>
          <t>3.2</t>
        </is>
      </c>
      <c r="C13" s="22" t="inlineStr">
        <is>
          <t>Formulation des libellés affichés</t>
        </is>
      </c>
      <c r="D13" s="23" t="n">
        <v>0.05</v>
      </c>
      <c r="E13" s="2" t="n"/>
      <c r="F13" s="24" t="n">
        <v>10</v>
      </c>
      <c r="G13" s="25">
        <f>IF(F13="","",F13/10*$D13)</f>
        <v/>
      </c>
      <c r="H13" s="7" t="inlineStr">
        <is>
          <t>Liste fermée, libellés descriptifs</t>
        </is>
      </c>
      <c r="I13" s="2" t="n"/>
      <c r="J13" s="26" t="n">
        <v>10</v>
      </c>
      <c r="K13" s="27">
        <f>IF(J13="","",J13/10*$D13)</f>
        <v/>
      </c>
      <c r="L13" s="9" t="inlineStr">
        <is>
          <t>Constats seulement, 0 verbe d'action ; liés aux 8 causes de la base</t>
        </is>
      </c>
      <c r="M13" s="2" t="n"/>
      <c r="N13" s="28" t="n">
        <v>7.5</v>
      </c>
      <c r="O13" s="29">
        <f>IF(N13="","",N13/10*$D13)</f>
        <v/>
      </c>
      <c r="P13" s="11" t="inlineStr">
        <is>
          <t>Aucun libellé, valeurs et écarts seulement</t>
        </is>
      </c>
    </row>
    <row r="14">
      <c r="B14" s="21" t="inlineStr">
        <is>
          <t>3.3</t>
        </is>
      </c>
      <c r="C14" s="22" t="inlineStr">
        <is>
          <t>Journalisation des confirmations</t>
        </is>
      </c>
      <c r="D14" s="23" t="n">
        <v>0.05</v>
      </c>
      <c r="E14" s="2" t="n"/>
      <c r="F14" s="24" t="n">
        <v>10</v>
      </c>
      <c r="G14" s="25">
        <f>IF(F14="","",F14/10*$D14)</f>
        <v/>
      </c>
      <c r="H14" s="7" t="inlineStr">
        <is>
          <t>Confirmation horodatée + instantané → SS-6</t>
        </is>
      </c>
      <c r="I14" s="2" t="n"/>
      <c r="J14" s="26" t="n">
        <v>10</v>
      </c>
      <c r="K14" s="27">
        <f>IF(J14="","",J14/10*$D14)</f>
        <v/>
      </c>
      <c r="L14" s="9" t="inlineStr">
        <is>
          <t>Modale restituant état, confiance, hypothèses ; envoi SS-6 à confirmer</t>
        </is>
      </c>
      <c r="M14" s="2" t="n"/>
      <c r="N14" s="28" t="n">
        <v>10</v>
      </c>
      <c r="O14" s="29">
        <f>IF(N14="","",N14/10*$D14)</f>
        <v/>
      </c>
      <c r="P14" s="11" t="inlineStr">
        <is>
          <t>Confirmation horodatée + instantané → SS-6</t>
        </is>
      </c>
    </row>
    <row r="15">
      <c r="B15" s="16" t="n">
        <v>4</v>
      </c>
      <c r="C15" s="17" t="inlineStr">
        <is>
          <t>Charge cognitive et erreur d'interprétation</t>
        </is>
      </c>
      <c r="D15" s="18">
        <f>SUM(D16:D17)</f>
        <v/>
      </c>
      <c r="E15" s="2" t="n"/>
      <c r="F15" s="19">
        <f>SUM(F16:F17)</f>
        <v/>
      </c>
      <c r="G15" s="20">
        <f>SUM(G16:G17)</f>
        <v/>
      </c>
      <c r="H15" s="17" t="n"/>
      <c r="I15" s="2" t="n"/>
      <c r="J15" s="19">
        <f>SUM(J16:J17)</f>
        <v/>
      </c>
      <c r="K15" s="20">
        <f>SUM(K16:K17)</f>
        <v/>
      </c>
      <c r="L15" s="17" t="n"/>
      <c r="M15" s="2" t="n"/>
      <c r="N15" s="19">
        <f>SUM(N16:N17)</f>
        <v/>
      </c>
      <c r="O15" s="20">
        <f>SUM(O16:O17)</f>
        <v/>
      </c>
      <c r="P15" s="17" t="n"/>
    </row>
    <row r="16">
      <c r="B16" s="21" t="inlineStr">
        <is>
          <t>4.1</t>
        </is>
      </c>
      <c r="C16" s="22" t="inlineStr">
        <is>
          <t>Nb de variables à rapprocher manuellement pour conclure</t>
        </is>
      </c>
      <c r="D16" s="23" t="n">
        <v>0.1</v>
      </c>
      <c r="E16" s="2" t="n"/>
      <c r="F16" s="24" t="n">
        <v>10</v>
      </c>
      <c r="G16" s="25">
        <f>IF(F16="","",F16/10*$D16)</f>
        <v/>
      </c>
      <c r="H16" s="7" t="inlineStr">
        <is>
          <t>0 : agrégateur à règles fixes → 1 des 4 états</t>
        </is>
      </c>
      <c r="I16" s="2" t="n"/>
      <c r="J16" s="26" t="n">
        <v>10</v>
      </c>
      <c r="K16" s="27">
        <f>IF(J16="","",J16/10*$D16)</f>
        <v/>
      </c>
      <c r="L16" s="9" t="inlineStr">
        <is>
          <t>0 : hypothèses déjà classées ; l'opérateur arbitre entre 2 et 5</t>
        </is>
      </c>
      <c r="M16" s="2" t="n"/>
      <c r="N16" s="28" t="n">
        <v>2.5</v>
      </c>
      <c r="O16" s="29">
        <f>IF(N16="","",N16/10*$D16)</f>
        <v/>
      </c>
      <c r="P16" s="11" t="inlineStr">
        <is>
          <t>3 : l'opérateur rapproche lui-même les 3 variables</t>
        </is>
      </c>
    </row>
    <row r="17">
      <c r="B17" s="21" t="inlineStr">
        <is>
          <t>4.2</t>
        </is>
      </c>
      <c r="C17" s="22" t="inlineStr">
        <is>
          <t>Nb d'éléments d'information sur la vue principale</t>
        </is>
      </c>
      <c r="D17" s="23" t="n">
        <v>0.1</v>
      </c>
      <c r="E17" s="2" t="n"/>
      <c r="F17" s="24" t="n">
        <v>10</v>
      </c>
      <c r="G17" s="25">
        <f>IF(F17="","",F17/10*$D17)</f>
        <v/>
      </c>
      <c r="H17" s="7" t="inlineStr">
        <is>
          <t>Estimé ≤ 7 (état, confiance, heure, libellé) — à compter sur le rendu</t>
        </is>
      </c>
      <c r="I17" s="2" t="n"/>
      <c r="J17" s="26" t="n">
        <v>2.5</v>
      </c>
      <c r="K17" s="27">
        <f>IF(J17="","",J17/10*$D17)</f>
        <v/>
      </c>
      <c r="L17" s="9" t="inlineStr">
        <is>
          <t>Estimé 16 à 25 (3 var. + écarts + heure + 2-5 hyp. + écartées) — à compter</t>
        </is>
      </c>
      <c r="M17" s="2" t="n"/>
      <c r="N17" s="28" t="n">
        <v>2.5</v>
      </c>
      <c r="O17" s="29">
        <f>IF(N17="","",N17/10*$D17)</f>
        <v/>
      </c>
      <c r="P17" s="11" t="inlineStr">
        <is>
          <t>Estimé 16 à 25 (3 tuiles × 6 éléments + courbes) — à compter</t>
        </is>
      </c>
    </row>
    <row r="18">
      <c r="B18" s="16" t="n">
        <v>5</v>
      </c>
      <c r="C18" s="17" t="inlineStr">
        <is>
          <t>Mise à jour de l'affichage</t>
        </is>
      </c>
      <c r="D18" s="18">
        <f>SUM(D19:D20)</f>
        <v/>
      </c>
      <c r="E18" s="2" t="n"/>
      <c r="F18" s="19">
        <f>SUM(F19:F20)</f>
        <v/>
      </c>
      <c r="G18" s="20">
        <f>SUM(G19:G20)</f>
        <v/>
      </c>
      <c r="H18" s="17" t="n"/>
      <c r="I18" s="2" t="n"/>
      <c r="J18" s="19">
        <f>SUM(J19:J20)</f>
        <v/>
      </c>
      <c r="K18" s="20">
        <f>SUM(K19:K20)</f>
        <v/>
      </c>
      <c r="L18" s="17" t="n"/>
      <c r="M18" s="2" t="n"/>
      <c r="N18" s="19">
        <f>SUM(N19:N20)</f>
        <v/>
      </c>
      <c r="O18" s="20">
        <f>SUM(O19:O20)</f>
        <v/>
      </c>
      <c r="P18" s="17" t="n"/>
    </row>
    <row r="19">
      <c r="B19" s="21" t="inlineStr">
        <is>
          <t>5.1</t>
        </is>
      </c>
      <c r="C19" s="22" t="inlineStr">
        <is>
          <t>Latence d'affichage (SS-4 → écran)</t>
        </is>
      </c>
      <c r="D19" s="23" t="n">
        <v>0.1</v>
      </c>
      <c r="E19" s="2" t="n"/>
      <c r="F19" s="24" t="n">
        <v>10</v>
      </c>
      <c r="G19" s="25">
        <f>IF(F19="","",F19/10*$D19)</f>
        <v/>
      </c>
      <c r="H19" s="7" t="inlineStr">
        <is>
          <t>1 mise à jour par cycle T</t>
        </is>
      </c>
      <c r="I19" s="2" t="n"/>
      <c r="J19" s="26" t="n">
        <v>10</v>
      </c>
      <c r="K19" s="27">
        <f>IF(J19="","",J19/10*$D19)</f>
        <v/>
      </c>
      <c r="L19" s="9" t="inlineStr">
        <is>
          <t>≤ T (1 s proposé) après la sortie SS-4</t>
        </is>
      </c>
      <c r="M19" s="2" t="n"/>
      <c r="N19" s="28" t="n">
        <v>10</v>
      </c>
      <c r="O19" s="29">
        <f>IF(N19="","",N19/10*$D19)</f>
        <v/>
      </c>
      <c r="P19" s="11" t="inlineStr">
        <is>
          <t>1 mise à jour par cycle T</t>
        </is>
      </c>
    </row>
    <row r="20">
      <c r="B20" s="21" t="inlineStr">
        <is>
          <t>5.2</t>
        </is>
      </c>
      <c r="C20" s="22" t="inlineStr">
        <is>
          <t>Part du budget de cycle consommée (EX-Q-01)</t>
        </is>
      </c>
      <c r="D20" s="23" t="n">
        <v>0.05</v>
      </c>
      <c r="E20" s="2" t="n"/>
      <c r="F20" s="24" t="n">
        <v>10</v>
      </c>
      <c r="G20" s="25">
        <f>IF(F20="","",F20/10*$D20)</f>
        <v/>
      </c>
      <c r="H20" s="7" t="inlineStr">
        <is>
          <t>Estimé &lt; 5 % (table de correspondance, coût constant) — à mesurer</t>
        </is>
      </c>
      <c r="I20" s="2" t="n"/>
      <c r="J20" s="26" t="n">
        <v>10</v>
      </c>
      <c r="K20" s="27">
        <f>IF(J20="","",J20/10*$D20)</f>
        <v/>
      </c>
      <c r="L20" s="9" t="inlineStr">
        <is>
          <t>Estimé &lt; 5 % (8 causes × 7 symptômes) — à mesurer</t>
        </is>
      </c>
      <c r="M20" s="2" t="n"/>
      <c r="N20" s="28" t="n">
        <v>10</v>
      </c>
      <c r="O20" s="29">
        <f>IF(N20="","",N20/10*$D20)</f>
        <v/>
      </c>
      <c r="P20" s="11" t="inlineStr">
        <is>
          <t>Estimé &lt; 5 % (3 tuiles + courbes) — à mesurer</t>
        </is>
      </c>
    </row>
    <row r="21">
      <c r="C21" s="30" t="inlineStr">
        <is>
          <t>Niveau « rejet » atteint ?</t>
        </is>
      </c>
      <c r="E21" s="2" t="n"/>
      <c r="F21" s="31" t="inlineStr">
        <is>
          <t>Non</t>
        </is>
      </c>
      <c r="G21" s="7" t="n"/>
      <c r="H21" s="7" t="n"/>
      <c r="I21" s="2" t="n"/>
      <c r="J21" s="32" t="inlineStr">
        <is>
          <t>Non</t>
        </is>
      </c>
      <c r="K21" s="9" t="n"/>
      <c r="L21" s="9" t="n"/>
      <c r="M21" s="2" t="n"/>
      <c r="N21" s="33" t="inlineStr">
        <is>
          <t>Non</t>
        </is>
      </c>
      <c r="O21" s="11" t="n"/>
      <c r="P21" s="11" t="n"/>
    </row>
    <row r="22">
      <c r="C22" s="34" t="inlineStr">
        <is>
          <t>Total</t>
        </is>
      </c>
      <c r="D22" s="35">
        <f>D5+D8+D11+D15+D18</f>
        <v/>
      </c>
      <c r="E22" s="2" t="n"/>
      <c r="G22" s="36">
        <f>SUM(G5,G8,G11,G15,G18)</f>
        <v/>
      </c>
      <c r="I22" s="2" t="n"/>
      <c r="K22" s="36">
        <f>SUM(K5,K8,K11,K15,K18)</f>
        <v/>
      </c>
      <c r="M22" s="2" t="n"/>
      <c r="O22" s="36">
        <f>SUM(O5,O8,O11,O15,O18)</f>
        <v/>
      </c>
    </row>
    <row r="24">
      <c r="A24" s="37" t="inlineStr">
        <is>
          <t>Pointage /10 = pourcentage du barème de l'étape 4 ÷ 10. Résultat pondéré = Pointage ÷ 10 × Poids. Les mentions « estimé » ou « non spécifié » sont à valider.</t>
        </is>
      </c>
    </row>
  </sheetData>
  <mergeCells count="11">
    <mergeCell ref="J1:P1"/>
    <mergeCell ref="I2:I4"/>
    <mergeCell ref="O2:P2"/>
    <mergeCell ref="G2:H2"/>
    <mergeCell ref="K2:L2"/>
    <mergeCell ref="F1:H1"/>
    <mergeCell ref="M2:M4"/>
    <mergeCell ref="F3:H3"/>
    <mergeCell ref="J3:L3"/>
    <mergeCell ref="N3:P3"/>
    <mergeCell ref="E2:E4"/>
  </mergeCells>
  <dataValidations count="1">
    <dataValidation sqref="F6 F7 F9 F10 F12 F13 F14 F16 F17 F19 F20 J6 J7 J9 J10 J12 J13 J14 J16 J17 J19 J20 N6 N7 N9 N10 N12 N13 N14 N16 N17 N19 N20" showDropDown="0" showInputMessage="0" showErrorMessage="1" allowBlank="1" error="Pointage entre 0 et 10" type="decimal" operator="between">
      <formula1>0</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2026-10-22T15:47:24Z</dcterms:created>
  <dcterms:modified xmlns:dcterms="http://purl.org/dc/terms/" xmlns:xsi="http://www.w3.org/2001/XMLSchema-instance" xsi:type="dcterms:W3CDTF">2026-10-22T15:47:24Z</dcterms:modified>
</cp:coreProperties>
</file>