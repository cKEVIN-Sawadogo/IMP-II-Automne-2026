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jasrawilsonthoroum/Downloads/"/>
    </mc:Choice>
  </mc:AlternateContent>
  <xr:revisionPtr revIDLastSave="0" documentId="8_{5D7D3896-B69C-B84E-83BE-00A094260540}" xr6:coauthVersionLast="47" xr6:coauthVersionMax="47" xr10:uidLastSave="{00000000-0000-0000-0000-000000000000}"/>
  <bookViews>
    <workbookView xWindow="0" yWindow="720" windowWidth="29400" windowHeight="18400" tabRatio="500" activeTab="1" xr2:uid="{00000000-000D-0000-FFFF-FFFF00000000}"/>
  </bookViews>
  <sheets>
    <sheet name="Suivi hebdo narratif" sheetId="1" r:id="rId1"/>
    <sheet name="Valeur acquise et courbe 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4" i="2" l="1"/>
  <c r="I14" i="2"/>
  <c r="H14" i="2"/>
  <c r="G14" i="2"/>
  <c r="D14" i="2"/>
  <c r="J13" i="2"/>
  <c r="I13" i="2"/>
  <c r="H13" i="2"/>
  <c r="G13" i="2"/>
  <c r="D13" i="2"/>
  <c r="J12" i="2"/>
  <c r="I12" i="2"/>
  <c r="H12" i="2"/>
  <c r="G12" i="2"/>
  <c r="D12" i="2"/>
  <c r="J11" i="2"/>
  <c r="I11" i="2"/>
  <c r="H11" i="2"/>
  <c r="G11" i="2"/>
  <c r="D11" i="2"/>
  <c r="J10" i="2"/>
  <c r="I10" i="2"/>
  <c r="H10" i="2"/>
  <c r="G10" i="2"/>
  <c r="D10" i="2"/>
  <c r="J9" i="2"/>
  <c r="I9" i="2"/>
  <c r="H9" i="2"/>
  <c r="G9" i="2"/>
  <c r="D9" i="2"/>
  <c r="J8" i="2"/>
  <c r="I8" i="2"/>
  <c r="H8" i="2"/>
  <c r="G8" i="2"/>
  <c r="D8" i="2"/>
  <c r="D7" i="2"/>
  <c r="J7" i="2"/>
  <c r="I7" i="2"/>
  <c r="H7" i="2"/>
  <c r="G7" i="2"/>
</calcChain>
</file>

<file path=xl/sharedStrings.xml><?xml version="1.0" encoding="utf-8"?>
<sst xmlns="http://schemas.openxmlformats.org/spreadsheetml/2006/main" count="45" uniqueCount="44">
  <si>
    <t>Suivi hebdomadaire narratif</t>
  </si>
  <si>
    <t>Semaine</t>
  </si>
  <si>
    <t>Date</t>
  </si>
  <si>
    <t>Progres realises depuis la derniere periode</t>
  </si>
  <si>
    <t>Dates prevues vs reelles d'achevement</t>
  </si>
  <si>
    <t>Progres attendu mais non complete</t>
  </si>
  <si>
    <t>Progres attendu pour la prochaine periode</t>
  </si>
  <si>
    <t>Problematiques soulevees, sans issue</t>
  </si>
  <si>
    <t>04 au 10-09-2026</t>
  </si>
  <si>
    <t>Reunion de demarrage, revue de l'art (1re partie), diagramme UML/GEMMA, debut recherche normes, echeancier preliminaire, estimation des ressources (24,5 h reelles loguees par 4 membres).</t>
  </si>
  <si>
    <t>Toutes les activites de la semaine 1 prevues au Gantt sont en cours ou completees a temps.</t>
  </si>
  <si>
    <t>Registre des exigences et section normes (5.1-5.4) non finalisees.</t>
  </si>
  <si>
    <t>Finaliser les sections 5.1 a 5.4, le RACI, le registre des risques et le plan de projet complet.</t>
  </si>
  <si>
    <t>Seuls 4 des 8 membres avaient rempli leur feuille de temps a la fin de la semaine 1.</t>
  </si>
  <si>
    <t>11 au 17-09-2026</t>
  </si>
  <si>
    <t>Redaction des sections normes 5.1-5.4, RACI complete, revision des impacts et risques, compte rendu de reunion publie, budget initial transmis a Wilson (30 h reelles loguees).</t>
  </si>
  <si>
    <t>Plan de projet (echeance 16-10-2026) : en cours, conforme a l'echeancier ; section normes et RACI livres a temps.</t>
  </si>
  <si>
    <t>Validation finale du budget et de l'estimation preliminaire des couts par l'equipe.</t>
  </si>
  <si>
    <t>Finaliser le plan de projet, debuter la revue par les pairs, premier point de controle EVM (P1).</t>
  </si>
  <si>
    <t>Feuilles de temps encore incompletes pour Abdramane, Rayane, Wilson et Ibrahima - a relancer.</t>
  </si>
  <si>
    <t>Valeur acquise (EVM) et courbe en S</t>
  </si>
  <si>
    <t>BAC (budget a l'achevement)</t>
  </si>
  <si>
    <t>Source : Budget_IMP_II.docx - Estime initial total</t>
  </si>
  <si>
    <t>Duree du projet (semaines utiles)</t>
  </si>
  <si>
    <t>Source : Ressources necessaires, section 7.2</t>
  </si>
  <si>
    <t>Periode</t>
  </si>
  <si>
    <t>Semaine (fin de periode)</t>
  </si>
  <si>
    <t>Valeur planifiee cumulative PV ($)</t>
  </si>
  <si>
    <t>Valeur acquise cumulative EV ($)</t>
  </si>
  <si>
    <t>Cout reel cumulatif AC ($)</t>
  </si>
  <si>
    <t>CPI = EV/AC</t>
  </si>
  <si>
    <t>SPI = EV/PV</t>
  </si>
  <si>
    <t>CV = EV-AC</t>
  </si>
  <si>
    <t>SV = EV-PV</t>
  </si>
  <si>
    <t>P1</t>
  </si>
  <si>
    <t>17-09-2026</t>
  </si>
  <si>
    <t>P2</t>
  </si>
  <si>
    <t>P3</t>
  </si>
  <si>
    <t>P4</t>
  </si>
  <si>
    <t>P5</t>
  </si>
  <si>
    <t>P6</t>
  </si>
  <si>
    <t>P7</t>
  </si>
  <si>
    <t>P8</t>
  </si>
  <si>
    <t>P1 (semaine 2) : EV et AC reels, calcules a partir de 55,75 h reellement loguees par l'equipe (Feuille_de_temps.xlsx) x 50 $/h, methode 'niveau d'effort' (OIQ-GPP). Remplir EV/AC a chaque point de controle bihebdomadaire ; la courbe ci-dessous se met a jour automatiquement.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</si>
</sst>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2" xfId="0" applyBorder="1" applyAlignment="1">
      <alignment vertical="top" wrapText="1"/>
    </xf>
    <xf numFmtId="0" fontId="2" fillId="0" borderId="0" xfId="0" applyFont="1"/>
    <xf numFmtId="164" fontId="3" fillId="0" borderId="1" xfId="0" applyNumberFormat="1" applyFont="1" applyBorder="1"/>
    <xf numFmtId="0" fontId="4" fillId="0" borderId="0" xfId="0" applyFont="1"/>
    <xf numFmtId="2" fontId="3" fillId="0" borderId="1" xfId="0" applyNumberFormat="1" applyFont="1" applyBorder="1"/>
    <xf numFmtId="0" fontId="3" fillId="0" borderId="2" xfId="0" applyFont="1" applyBorder="1"/>
    <xf numFmtId="164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Courbe en S - PV / EV / AC cumulatifs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'Valeur acquise et courbe S'!$D$6</c:f>
              <c:strCache>
                <c:ptCount val="1"/>
                <c:pt idx="0">
                  <c:v>Valeur planifiee cumulative PV ($)</c:v>
                </c:pt>
              </c:strCache>
            </c:strRef>
          </c:tx>
          <c:spPr>
            <a:ln w="15840">
              <a:solidFill>
                <a:srgbClr val="0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'Valeur acquise et courbe S'!$B$7:$B$14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'Valeur acquise et courbe S'!$D$7:$D$14</c:f>
              <c:numCache>
                <c:formatCode>\$#\ ##0.00</c:formatCode>
                <c:ptCount val="8"/>
                <c:pt idx="0">
                  <c:v>2244.9777777777776</c:v>
                </c:pt>
                <c:pt idx="1">
                  <c:v>8103.8222222222221</c:v>
                </c:pt>
                <c:pt idx="2">
                  <c:v>16262.400000000005</c:v>
                </c:pt>
                <c:pt idx="3">
                  <c:v>25406.577777777777</c:v>
                </c:pt>
                <c:pt idx="4">
                  <c:v>34222.222222222219</c:v>
                </c:pt>
                <c:pt idx="5">
                  <c:v>41395.200000000004</c:v>
                </c:pt>
                <c:pt idx="6">
                  <c:v>45611.377777777765</c:v>
                </c:pt>
                <c:pt idx="7">
                  <c:v>46200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2-7B42-9148-4ECEA742EA9A}"/>
            </c:ext>
          </c:extLst>
        </c:ser>
        <c:ser>
          <c:idx val="1"/>
          <c:order val="1"/>
          <c:tx>
            <c:strRef>
              <c:f>'Valeur acquise et courbe S'!$E$6</c:f>
              <c:strCache>
                <c:ptCount val="1"/>
                <c:pt idx="0">
                  <c:v>Valeur acquise cumulative EV ($)</c:v>
                </c:pt>
              </c:strCache>
            </c:strRef>
          </c:tx>
          <c:spPr>
            <a:ln w="28080">
              <a:solidFill>
                <a:srgbClr val="000000"/>
              </a:solidFill>
              <a:round/>
            </a:ln>
          </c:spPr>
          <c:marker>
            <c:symbol val="circle"/>
            <c:size val="12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'Valeur acquise et courbe S'!$B$7:$B$14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'Valeur acquise et courbe S'!$E$7:$E$14</c:f>
              <c:numCache>
                <c:formatCode>\$#\ ##0.00</c:formatCode>
                <c:ptCount val="8"/>
                <c:pt idx="0">
                  <c:v>2787.5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2-7B42-9148-4ECEA742EA9A}"/>
            </c:ext>
          </c:extLst>
        </c:ser>
        <c:ser>
          <c:idx val="2"/>
          <c:order val="2"/>
          <c:tx>
            <c:strRef>
              <c:f>'Valeur acquise et courbe S'!$F$6</c:f>
              <c:strCache>
                <c:ptCount val="1"/>
                <c:pt idx="0">
                  <c:v>Cout reel cumulatif AC ($)</c:v>
                </c:pt>
              </c:strCache>
            </c:strRef>
          </c:tx>
          <c:spPr>
            <a:ln w="20160">
              <a:solidFill>
                <a:srgbClr val="000000"/>
              </a:solidFill>
              <a:prstDash val="sysDot"/>
              <a:round/>
            </a:ln>
          </c:spPr>
          <c:marker>
            <c:symbol val="square"/>
            <c:size val="11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'Valeur acquise et courbe S'!$B$7:$B$14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15</c:v>
                </c:pt>
              </c:numCache>
            </c:numRef>
          </c:cat>
          <c:val>
            <c:numRef>
              <c:f>'Valeur acquise et courbe S'!$F$7:$F$14</c:f>
              <c:numCache>
                <c:formatCode>\$#\ ##0.00</c:formatCode>
                <c:ptCount val="8"/>
                <c:pt idx="0">
                  <c:v>2787.5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2-7B42-9148-4ECEA742E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810620"/>
        <c:axId val="560839"/>
      </c:lineChart>
      <c:catAx>
        <c:axId val="268106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60839"/>
        <c:crosses val="autoZero"/>
        <c:auto val="1"/>
        <c:lblAlgn val="ctr"/>
        <c:lblOffset val="100"/>
        <c:noMultiLvlLbl val="0"/>
      </c:catAx>
      <c:valAx>
        <c:axId val="560839"/>
        <c:scaling>
          <c:orientation val="minMax"/>
          <c:max val="46200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Cout cumulatif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6810620"/>
        <c:crosses val="autoZero"/>
        <c:crossBetween val="between"/>
        <c:majorUnit val="2000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8</xdr:col>
      <xdr:colOff>447480</xdr:colOff>
      <xdr:row>37</xdr:row>
      <xdr:rowOff>149040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pane ySplit="3" topLeftCell="A4" activePane="bottomLeft" state="frozen"/>
      <selection pane="bottomLeft" sqref="A1:G1"/>
    </sheetView>
  </sheetViews>
  <sheetFormatPr baseColWidth="10" defaultColWidth="8.6640625" defaultRowHeight="15" x14ac:dyDescent="0.2"/>
  <cols>
    <col min="1" max="1" width="9" customWidth="1"/>
    <col min="2" max="2" width="14" customWidth="1"/>
    <col min="3" max="3" width="34" customWidth="1"/>
    <col min="4" max="5" width="26" customWidth="1"/>
    <col min="6" max="6" width="30" customWidth="1"/>
    <col min="7" max="7" width="28" customWidth="1"/>
  </cols>
  <sheetData>
    <row r="1" spans="1:7" ht="17.25" customHeight="1" x14ac:dyDescent="0.2">
      <c r="A1" s="2" t="s">
        <v>0</v>
      </c>
      <c r="B1" s="2"/>
      <c r="C1" s="2"/>
      <c r="D1" s="2"/>
      <c r="E1" s="2"/>
      <c r="F1" s="2"/>
      <c r="G1" s="2"/>
    </row>
    <row r="3" spans="1:7" ht="31.5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60" customHeight="1" x14ac:dyDescent="0.2">
      <c r="A4" s="4">
        <v>1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</row>
    <row r="5" spans="1:7" ht="60" customHeight="1" x14ac:dyDescent="0.2">
      <c r="A5" s="4">
        <v>2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</row>
    <row r="6" spans="1:7" ht="39.75" customHeight="1" x14ac:dyDescent="0.2">
      <c r="A6" s="5">
        <v>3</v>
      </c>
      <c r="B6" s="6"/>
      <c r="C6" s="6"/>
      <c r="D6" s="6"/>
      <c r="E6" s="6"/>
      <c r="F6" s="6"/>
      <c r="G6" s="6"/>
    </row>
    <row r="7" spans="1:7" ht="39.75" customHeight="1" x14ac:dyDescent="0.2">
      <c r="A7" s="5">
        <v>4</v>
      </c>
      <c r="B7" s="6"/>
      <c r="C7" s="6"/>
      <c r="D7" s="6"/>
      <c r="E7" s="6"/>
      <c r="F7" s="6"/>
      <c r="G7" s="6"/>
    </row>
    <row r="8" spans="1:7" ht="39.75" customHeight="1" x14ac:dyDescent="0.2">
      <c r="A8" s="5">
        <v>5</v>
      </c>
      <c r="B8" s="6"/>
      <c r="C8" s="6"/>
      <c r="D8" s="6"/>
      <c r="E8" s="6"/>
      <c r="F8" s="6"/>
      <c r="G8" s="6"/>
    </row>
    <row r="9" spans="1:7" ht="39.75" customHeight="1" x14ac:dyDescent="0.2">
      <c r="A9" s="5">
        <v>6</v>
      </c>
      <c r="B9" s="6"/>
      <c r="C9" s="6"/>
      <c r="D9" s="6"/>
      <c r="E9" s="6"/>
      <c r="F9" s="6"/>
      <c r="G9" s="6"/>
    </row>
    <row r="10" spans="1:7" ht="39.75" customHeight="1" x14ac:dyDescent="0.2">
      <c r="A10" s="5">
        <v>7</v>
      </c>
      <c r="B10" s="6"/>
      <c r="C10" s="6"/>
      <c r="D10" s="6"/>
      <c r="E10" s="6"/>
      <c r="F10" s="6"/>
      <c r="G10" s="6"/>
    </row>
    <row r="11" spans="1:7" ht="39.75" customHeight="1" x14ac:dyDescent="0.2">
      <c r="A11" s="5">
        <v>8</v>
      </c>
      <c r="B11" s="6"/>
      <c r="C11" s="6"/>
      <c r="D11" s="6"/>
      <c r="E11" s="6"/>
      <c r="F11" s="6"/>
      <c r="G11" s="6"/>
    </row>
    <row r="12" spans="1:7" ht="39.75" customHeight="1" x14ac:dyDescent="0.2">
      <c r="A12" s="5">
        <v>9</v>
      </c>
      <c r="B12" s="6"/>
      <c r="C12" s="6"/>
      <c r="D12" s="6"/>
      <c r="E12" s="6"/>
      <c r="F12" s="6"/>
      <c r="G12" s="6"/>
    </row>
    <row r="13" spans="1:7" ht="39.75" customHeight="1" x14ac:dyDescent="0.2">
      <c r="A13" s="5">
        <v>10</v>
      </c>
      <c r="B13" s="6"/>
      <c r="C13" s="6"/>
      <c r="D13" s="6"/>
      <c r="E13" s="6"/>
      <c r="F13" s="6"/>
      <c r="G13" s="6"/>
    </row>
    <row r="14" spans="1:7" ht="39.75" customHeight="1" x14ac:dyDescent="0.2">
      <c r="A14" s="5">
        <v>11</v>
      </c>
      <c r="B14" s="6"/>
      <c r="C14" s="6"/>
      <c r="D14" s="6"/>
      <c r="E14" s="6"/>
      <c r="F14" s="6"/>
      <c r="G14" s="6"/>
    </row>
    <row r="15" spans="1:7" ht="39.75" customHeight="1" x14ac:dyDescent="0.2">
      <c r="A15" s="5">
        <v>12</v>
      </c>
      <c r="B15" s="6"/>
      <c r="C15" s="6"/>
      <c r="D15" s="6"/>
      <c r="E15" s="6"/>
      <c r="F15" s="6"/>
      <c r="G15" s="6"/>
    </row>
    <row r="16" spans="1:7" ht="39.75" customHeight="1" x14ac:dyDescent="0.2">
      <c r="A16" s="5">
        <v>13</v>
      </c>
      <c r="B16" s="6"/>
      <c r="C16" s="6"/>
      <c r="D16" s="6"/>
      <c r="E16" s="6"/>
      <c r="F16" s="6"/>
      <c r="G16" s="6"/>
    </row>
    <row r="17" spans="1:7" ht="39.75" customHeight="1" x14ac:dyDescent="0.2">
      <c r="A17" s="5">
        <v>14</v>
      </c>
      <c r="B17" s="6"/>
      <c r="C17" s="6"/>
      <c r="D17" s="6"/>
      <c r="E17" s="6"/>
      <c r="F17" s="6"/>
      <c r="G17" s="6"/>
    </row>
    <row r="18" spans="1:7" ht="39.75" customHeight="1" x14ac:dyDescent="0.2">
      <c r="A18" s="5">
        <v>15</v>
      </c>
      <c r="B18" s="6"/>
      <c r="C18" s="6"/>
      <c r="D18" s="6"/>
      <c r="E18" s="6"/>
      <c r="F18" s="6"/>
      <c r="G18" s="6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abSelected="1" zoomScale="89" zoomScaleNormal="100" workbookViewId="0">
      <pane ySplit="6" topLeftCell="A7" activePane="bottomLeft" state="frozen"/>
      <selection pane="bottomLeft" sqref="A1:J1"/>
    </sheetView>
  </sheetViews>
  <sheetFormatPr baseColWidth="10" defaultColWidth="8.6640625" defaultRowHeight="15" x14ac:dyDescent="0.2"/>
  <cols>
    <col min="1" max="1" width="8" customWidth="1"/>
    <col min="2" max="2" width="14" customWidth="1"/>
    <col min="3" max="3" width="12" customWidth="1"/>
    <col min="4" max="6" width="16" customWidth="1"/>
    <col min="7" max="8" width="12" customWidth="1"/>
    <col min="9" max="10" width="14" customWidth="1"/>
  </cols>
  <sheetData>
    <row r="1" spans="1:10" ht="17.25" customHeight="1" x14ac:dyDescent="0.2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</row>
    <row r="3" spans="1:10" ht="15" customHeight="1" x14ac:dyDescent="0.2">
      <c r="A3" s="7" t="s">
        <v>21</v>
      </c>
      <c r="B3" s="8">
        <v>46200</v>
      </c>
      <c r="C3" s="9" t="s">
        <v>22</v>
      </c>
    </row>
    <row r="4" spans="1:10" ht="15" customHeight="1" x14ac:dyDescent="0.2">
      <c r="A4" s="7" t="s">
        <v>23</v>
      </c>
      <c r="B4" s="5">
        <v>15</v>
      </c>
      <c r="C4" s="9" t="s">
        <v>24</v>
      </c>
    </row>
    <row r="6" spans="1:10" ht="33.75" customHeight="1" x14ac:dyDescent="0.2">
      <c r="A6" s="3" t="s">
        <v>25</v>
      </c>
      <c r="B6" s="3" t="s">
        <v>26</v>
      </c>
      <c r="C6" s="3" t="s">
        <v>2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</row>
    <row r="7" spans="1:10" ht="15" customHeight="1" x14ac:dyDescent="0.2">
      <c r="A7" s="5" t="s">
        <v>34</v>
      </c>
      <c r="B7" s="5">
        <v>2</v>
      </c>
      <c r="C7" s="5" t="s">
        <v>35</v>
      </c>
      <c r="D7" s="8">
        <f t="shared" ref="D7:D14" si="0">$B$3*(3*(B7/$B$4)^2-2*(B7/$B$4)^3)</f>
        <v>2244.9777777777776</v>
      </c>
      <c r="E7" s="8">
        <v>2787.5</v>
      </c>
      <c r="F7" s="8">
        <v>2787.5</v>
      </c>
      <c r="G7" s="10">
        <f t="shared" ref="G7:G14" si="1">IF(OR(E7="",F7=""),"",E7/F7)</f>
        <v>1</v>
      </c>
      <c r="H7" s="10">
        <f t="shared" ref="H7:H14" si="2">IF(E7="","",E7/D7)</f>
        <v>1.2416603975293001</v>
      </c>
      <c r="I7" s="8">
        <f t="shared" ref="I7:I14" si="3">IF(OR(E7="",F7=""),"",E7-F7)</f>
        <v>0</v>
      </c>
      <c r="J7" s="8">
        <f t="shared" ref="J7:J14" si="4">IF(E7="","",E7-D7)</f>
        <v>542.52222222222235</v>
      </c>
    </row>
    <row r="8" spans="1:10" ht="15" customHeight="1" x14ac:dyDescent="0.2">
      <c r="A8" s="5" t="s">
        <v>36</v>
      </c>
      <c r="B8" s="5">
        <v>4</v>
      </c>
      <c r="C8" s="11"/>
      <c r="D8" s="8">
        <f t="shared" si="0"/>
        <v>8103.8222222222221</v>
      </c>
      <c r="E8" s="12"/>
      <c r="F8" s="12"/>
      <c r="G8" s="10" t="str">
        <f t="shared" si="1"/>
        <v/>
      </c>
      <c r="H8" s="10" t="str">
        <f t="shared" si="2"/>
        <v/>
      </c>
      <c r="I8" s="8" t="str">
        <f t="shared" si="3"/>
        <v/>
      </c>
      <c r="J8" s="8" t="str">
        <f t="shared" si="4"/>
        <v/>
      </c>
    </row>
    <row r="9" spans="1:10" ht="15" customHeight="1" x14ac:dyDescent="0.2">
      <c r="A9" s="5" t="s">
        <v>37</v>
      </c>
      <c r="B9" s="5">
        <v>6</v>
      </c>
      <c r="C9" s="11"/>
      <c r="D9" s="8">
        <f t="shared" si="0"/>
        <v>16262.400000000005</v>
      </c>
      <c r="E9" s="12"/>
      <c r="F9" s="12"/>
      <c r="G9" s="10" t="str">
        <f t="shared" si="1"/>
        <v/>
      </c>
      <c r="H9" s="10" t="str">
        <f t="shared" si="2"/>
        <v/>
      </c>
      <c r="I9" s="8" t="str">
        <f t="shared" si="3"/>
        <v/>
      </c>
      <c r="J9" s="8" t="str">
        <f t="shared" si="4"/>
        <v/>
      </c>
    </row>
    <row r="10" spans="1:10" ht="15" customHeight="1" x14ac:dyDescent="0.2">
      <c r="A10" s="5" t="s">
        <v>38</v>
      </c>
      <c r="B10" s="5">
        <v>8</v>
      </c>
      <c r="C10" s="11"/>
      <c r="D10" s="8">
        <f t="shared" si="0"/>
        <v>25406.577777777777</v>
      </c>
      <c r="E10" s="12"/>
      <c r="F10" s="12"/>
      <c r="G10" s="10" t="str">
        <f t="shared" si="1"/>
        <v/>
      </c>
      <c r="H10" s="10" t="str">
        <f t="shared" si="2"/>
        <v/>
      </c>
      <c r="I10" s="8" t="str">
        <f t="shared" si="3"/>
        <v/>
      </c>
      <c r="J10" s="8" t="str">
        <f t="shared" si="4"/>
        <v/>
      </c>
    </row>
    <row r="11" spans="1:10" ht="15" customHeight="1" x14ac:dyDescent="0.2">
      <c r="A11" s="5" t="s">
        <v>39</v>
      </c>
      <c r="B11" s="5">
        <v>10</v>
      </c>
      <c r="C11" s="11"/>
      <c r="D11" s="8">
        <f t="shared" si="0"/>
        <v>34222.222222222219</v>
      </c>
      <c r="E11" s="12"/>
      <c r="F11" s="12"/>
      <c r="G11" s="10" t="str">
        <f t="shared" si="1"/>
        <v/>
      </c>
      <c r="H11" s="10" t="str">
        <f t="shared" si="2"/>
        <v/>
      </c>
      <c r="I11" s="8" t="str">
        <f t="shared" si="3"/>
        <v/>
      </c>
      <c r="J11" s="8" t="str">
        <f t="shared" si="4"/>
        <v/>
      </c>
    </row>
    <row r="12" spans="1:10" ht="15" customHeight="1" x14ac:dyDescent="0.2">
      <c r="A12" s="5" t="s">
        <v>40</v>
      </c>
      <c r="B12" s="5">
        <v>12</v>
      </c>
      <c r="C12" s="11"/>
      <c r="D12" s="8">
        <f t="shared" si="0"/>
        <v>41395.200000000004</v>
      </c>
      <c r="E12" s="12"/>
      <c r="F12" s="12"/>
      <c r="G12" s="10" t="str">
        <f t="shared" si="1"/>
        <v/>
      </c>
      <c r="H12" s="10" t="str">
        <f t="shared" si="2"/>
        <v/>
      </c>
      <c r="I12" s="8" t="str">
        <f t="shared" si="3"/>
        <v/>
      </c>
      <c r="J12" s="8" t="str">
        <f t="shared" si="4"/>
        <v/>
      </c>
    </row>
    <row r="13" spans="1:10" ht="15" customHeight="1" x14ac:dyDescent="0.2">
      <c r="A13" s="5" t="s">
        <v>41</v>
      </c>
      <c r="B13" s="5">
        <v>14</v>
      </c>
      <c r="C13" s="11"/>
      <c r="D13" s="8">
        <f t="shared" si="0"/>
        <v>45611.377777777765</v>
      </c>
      <c r="E13" s="12"/>
      <c r="F13" s="12"/>
      <c r="G13" s="10" t="str">
        <f t="shared" si="1"/>
        <v/>
      </c>
      <c r="H13" s="10" t="str">
        <f t="shared" si="2"/>
        <v/>
      </c>
      <c r="I13" s="8" t="str">
        <f t="shared" si="3"/>
        <v/>
      </c>
      <c r="J13" s="8" t="str">
        <f t="shared" si="4"/>
        <v/>
      </c>
    </row>
    <row r="14" spans="1:10" ht="15" customHeight="1" x14ac:dyDescent="0.2">
      <c r="A14" s="5" t="s">
        <v>42</v>
      </c>
      <c r="B14" s="5">
        <v>15</v>
      </c>
      <c r="C14" s="11"/>
      <c r="D14" s="8">
        <f t="shared" si="0"/>
        <v>46200</v>
      </c>
      <c r="E14" s="12"/>
      <c r="F14" s="12"/>
      <c r="G14" s="10" t="str">
        <f t="shared" si="1"/>
        <v/>
      </c>
      <c r="H14" s="10" t="str">
        <f t="shared" si="2"/>
        <v/>
      </c>
      <c r="I14" s="8" t="str">
        <f t="shared" si="3"/>
        <v/>
      </c>
      <c r="J14" s="8" t="str">
        <f t="shared" si="4"/>
        <v/>
      </c>
    </row>
    <row r="16" spans="1:10" ht="30" customHeight="1" x14ac:dyDescent="0.2">
      <c r="A16" s="1" t="s">
        <v>43</v>
      </c>
      <c r="B16" s="1"/>
      <c r="C16" s="1"/>
      <c r="D16" s="1"/>
      <c r="E16" s="1"/>
      <c r="F16" s="1"/>
      <c r="G16" s="1"/>
      <c r="H16" s="1"/>
      <c r="I16" s="1"/>
      <c r="J16" s="1"/>
    </row>
  </sheetData>
  <mergeCells count="2">
    <mergeCell ref="A1:J1"/>
    <mergeCell ref="A16:J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hebdo narratif</vt:lpstr>
      <vt:lpstr>Valeur acquise et courbe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DJASRA WILSON THOROUM</cp:lastModifiedBy>
  <cp:revision>4</cp:revision>
  <dcterms:created xsi:type="dcterms:W3CDTF">2026-09-18T14:21:10Z</dcterms:created>
  <dcterms:modified xsi:type="dcterms:W3CDTF">2026-09-18T14:31:14Z</dcterms:modified>
  <dc:language>en-US</dc:language>
</cp:coreProperties>
</file>