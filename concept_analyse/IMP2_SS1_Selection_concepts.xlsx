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e1a2c0861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élection SS1" sheetId="1" r:id="R50901d91c6fd42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%"/>
    <x:numFmt numFmtId="202" formatCode="0.0"/>
    <x:numFmt numFmtId="203" formatCode="0.00"/>
  </x:numFmts>
  <x:fonts count="10">
    <x:font>
      <x:sz val="11"/>
      <x:name val="Carlito"/>
    </x:font>
    <x:font>
      <x:sz val="10"/>
      <x:color rgb="FF111111"/>
      <x:name val="Arial"/>
    </x:font>
    <x:font>
      <x:b/>
      <x:sz val="16"/>
      <x:color rgb="FF111111"/>
      <x:name val="Arial"/>
    </x:font>
    <x:font>
      <x:b/>
      <x:sz val="11"/>
      <x:color rgb="FF7F4800"/>
      <x:name val="Arial"/>
    </x:font>
    <x:font>
      <x:b/>
      <x:sz val="10"/>
      <x:color rgb="FF111111"/>
      <x:name val="Arial"/>
    </x:font>
    <x:font>
      <x:b/>
      <x:sz val="14"/>
      <x:color rgb="FF111111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2"/>
      <x:color rgb="FF111111"/>
      <x:name val="Arial"/>
    </x:font>
    <x:font>
      <x:sz val="9"/>
      <x:color rgb="FF55555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0253F"/>
      </x:patternFill>
    </x:fill>
    <x:fill>
      <x:patternFill patternType="solid">
        <x:fgColor rgb="FFEEF3E2"/>
      </x:patternFill>
    </x:fill>
    <x:fill>
      <x:patternFill patternType="solid">
        <x:fgColor rgb="FFDBD5AF"/>
      </x:patternFill>
    </x:fill>
    <x:fill>
      <x:patternFill patternType="solid">
        <x:fgColor rgb="FFDCEEF3"/>
      </x:patternFill>
    </x:fill>
    <x:fill>
      <x:patternFill patternType="solid">
        <x:fgColor rgb="FFD8D8D8"/>
      </x:patternFill>
    </x:fill>
    <x:fill>
      <x:patternFill patternType="solid">
        <x:fgColor rgb="FF000000"/>
      </x:patternFill>
    </x:fill>
  </x:fills>
  <x:borders count="6">
    <x:border>
      <x:left/>
      <x:right/>
      <x:top/>
      <x:bottom/>
      <x:diagonal/>
    </x:border>
    <x:border>
      <x:left style="thin">
        <x:color rgb="FF111111"/>
      </x:left>
      <x:right/>
      <x:top style="thin">
        <x:color rgb="FF111111"/>
      </x:top>
      <x:bottom style="thin">
        <x:color rgb="FF111111"/>
      </x:bottom>
      <x:diagonal/>
    </x:border>
    <x:border>
      <x:left/>
      <x:right/>
      <x:top style="thin">
        <x:color rgb="FF111111"/>
      </x:top>
      <x:bottom style="thin">
        <x:color rgb="FF111111"/>
      </x:bottom>
      <x:diagonal/>
    </x:border>
    <x:border>
      <x:left/>
      <x:right style="thin">
        <x:color rgb="FF111111"/>
      </x:right>
      <x:top style="thin">
        <x:color rgb="FF111111"/>
      </x:top>
      <x:bottom style="thin">
        <x:color rgb="FF111111"/>
      </x:bottom>
      <x:diagonal/>
    </x:border>
    <x:border>
      <x:left style="thin">
        <x:color rgb="FF666666"/>
      </x:left>
      <x:right style="thin">
        <x:color rgb="FF666666"/>
      </x:right>
      <x:top style="thin">
        <x:color rgb="FF666666"/>
      </x:top>
      <x:bottom style="thin">
        <x:color rgb="FF666666"/>
      </x:bottom>
      <x:diagonal/>
    </x:border>
    <x:border>
      <x:left style="thin">
        <x:color rgb="FF666666"/>
      </x:left>
      <x:right style="thin">
        <x:color rgb="FF666666"/>
      </x:right>
      <x:top style="medium">
        <x:color rgb="FF000000"/>
      </x:top>
      <x:bottom style="thin">
        <x:color rgb="FF666666"/>
      </x:bottom>
      <x:diagonal/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202" fontId="7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202" fontId="7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202" fontId="7" fillId="6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201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201" fontId="4" fillId="7" borderId="0" xfId="0" applyNumberFormat="1" applyFont="1" applyFill="1" applyBorder="1" applyAlignment="1">
      <x:alignment vertical="center"/>
    </x:xf>
    <x:xf numFmtId="200" fontId="4" fillId="7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7" borderId="0" xfId="0" applyNumberFormat="1" applyFont="1" applyFill="1" applyBorder="1" applyAlignment="1">
      <x:alignment vertical="center"/>
    </x:xf>
    <x:xf numFmtId="200" fontId="1" fillId="7" borderId="0" xfId="0" applyNumberFormat="1" applyFont="1" applyFill="1" applyBorder="1" applyAlignment="1">
      <x:alignment vertical="center"/>
    </x:xf>
    <x:xf numFmtId="203" fontId="4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 wrapText="1"/>
    </x:xf>
    <x:xf numFmtId="0" fontId="4" fillId="7" borderId="4" xfId="0" applyNumberFormat="1" applyFont="1" applyFill="1" applyBorder="1" applyAlignment="1">
      <x:alignment vertical="center"/>
    </x:xf>
    <x:xf numFmtId="201" fontId="4" fillId="7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201" fontId="1" fillId="0" borderId="4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200" fontId="4" fillId="7" borderId="4" xfId="0" applyNumberFormat="1" applyFont="1" applyFill="1" applyBorder="1" applyAlignment="1">
      <x:alignment vertical="center"/>
    </x:xf>
    <x:xf numFmtId="202" fontId="7" fillId="4" borderId="4" xfId="0" applyNumberFormat="1" applyFont="1" applyFill="1" applyBorder="1" applyAlignment="1">
      <x:alignment vertical="center" wrapText="1"/>
    </x:xf>
    <x:xf numFmtId="200" fontId="1" fillId="4" borderId="4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203" fontId="4" fillId="7" borderId="4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 wrapText="1"/>
    </x:xf>
    <x:xf numFmtId="202" fontId="7" fillId="5" borderId="4" xfId="0" applyNumberFormat="1" applyFont="1" applyFill="1" applyBorder="1" applyAlignment="1">
      <x:alignment vertical="center" wrapText="1"/>
    </x:xf>
    <x:xf numFmtId="200" fontId="1" fillId="5" borderId="4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202" fontId="7" fillId="6" borderId="4" xfId="0" applyNumberFormat="1" applyFont="1" applyFill="1" applyBorder="1" applyAlignment="1">
      <x:alignment vertical="center" wrapText="1"/>
    </x:xf>
    <x:xf numFmtId="200" fontId="1" fillId="6" borderId="4" xfId="0" applyNumberFormat="1" applyFont="1" applyFill="1" applyBorder="1" applyAlignment="1">
      <x:alignment vertical="center" wrapText="1"/>
    </x:xf>
    <x:xf numFmtId="0" fontId="1" fillId="6" borderId="4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vertical="center"/>
    </x:xf>
    <x:xf numFmtId="201" fontId="4" fillId="7" borderId="5" xfId="0" applyNumberFormat="1" applyFont="1" applyFill="1" applyBorder="1" applyAlignment="1">
      <x:alignment vertical="center"/>
    </x:xf>
    <x:xf numFmtId="200" fontId="4" fillId="7" borderId="5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52516263624ddb" /><Relationship Type="http://schemas.openxmlformats.org/officeDocument/2006/relationships/theme" Target="/xl/theme/theme1.xml" Id="Rfde3e86bf6474a00" /><Relationship Type="http://schemas.openxmlformats.org/officeDocument/2006/relationships/sharedStrings" Target="/xl/sharedStrings.xml" Id="R70f6195c56954ce9" /><Relationship Type="http://schemas.openxmlformats.org/officeDocument/2006/relationships/worksheet" Target="/xl/worksheets/sheet1.xml" Id="R50901d91c6fd42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7" hidden="0" customWidth="1"/>
    <x:col min="2" max="2" width="7" hidden="0" customWidth="1"/>
    <x:col min="3" max="3" width="36" hidden="0" customWidth="1"/>
    <x:col min="4" max="4" width="9" hidden="0" customWidth="1"/>
    <x:col min="5" max="5" width="3" hidden="0" customWidth="1"/>
    <x:col min="6" max="6" width="10" hidden="0" customWidth="1"/>
    <x:col min="7" max="7" width="12" hidden="0" customWidth="1"/>
    <x:col min="8" max="8" width="43" hidden="0" customWidth="1"/>
    <x:col min="9" max="9" width="3" hidden="0" customWidth="1"/>
    <x:col min="10" max="10" width="10" hidden="0" customWidth="1"/>
    <x:col min="11" max="11" width="12" hidden="0" customWidth="1"/>
    <x:col min="12" max="12" width="43" hidden="0" customWidth="1"/>
    <x:col min="13" max="13" width="3" hidden="0" customWidth="1"/>
    <x:col min="14" max="14" width="10" hidden="0" customWidth="1"/>
    <x:col min="15" max="15" width="12" hidden="0" customWidth="1"/>
    <x:col min="16" max="16" width="43" hidden="0" customWidth="1"/>
  </x:cols>
  <x:sheetData>
    <x:row r="1" ht="32" customHeight="1">
      <x:c r="A1" s="3" t="str">
        <x:v>Étape 5 Analyse des solutions par caractéristiques voulues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5" customHeight="1">
      <x:c r="A2" s="2" t="str">
        <x:v>SS-1 (L4) — Simulation physique de la boucle thermohydraulique en fonctionnement normal et en défaillance.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36" customHeight="1">
      <x:c r="A3" s="6" t="str">
        <x:v>PRÉSÉLECTION THÉORIQUE : les notes sont des hypothèses de discussion, sans résultats d’essai. Elles ne démontrent pas le respect des seuils de l’étape 4.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>
      <x:c r="A5" s="7" t="str">
        <x:v>IMP2 — Fonction SS-1
Pondérations locales : 100 %</x:v>
      </x:c>
      <x:c r="B5" s="7"/>
      <x:c r="C5" s="7"/>
      <x:c r="D5" s="7"/>
      <x:c r="E5" s="57"/>
      <x:c r="F5" s="12" t="str">
        <x:v>CANDIDAT A</x:v>
      </x:c>
      <x:c r="G5" s="13"/>
      <x:c r="H5" s="14"/>
      <x:c r="I5" s="57"/>
      <x:c r="J5" s="12" t="str">
        <x:v>ALTERNATIVES</x:v>
      </x:c>
      <x:c r="K5" s="13"/>
      <x:c r="L5" s="13"/>
      <x:c r="M5" s="13"/>
      <x:c r="N5" s="13"/>
      <x:c r="O5" s="13"/>
      <x:c r="P5" s="14"/>
    </x:row>
    <x:row r="6">
      <x:c r="A6" s="7"/>
      <x:c r="B6" s="7"/>
      <x:c r="C6" s="7"/>
      <x:c r="D6" s="7"/>
      <x:c r="E6" s="57"/>
      <x:c r="F6" s="17" t="n">
        <x:f>G20</x:f>
        <x:v>0.8125</x:v>
      </x:c>
      <x:c r="G6" s="17"/>
      <x:c r="H6" s="17"/>
      <x:c r="I6" s="57"/>
      <x:c r="J6" s="17" t="n">
        <x:f>K20</x:f>
        <x:v>0.8125</x:v>
      </x:c>
      <x:c r="K6" s="17"/>
      <x:c r="L6" s="17"/>
      <x:c r="M6" s="57"/>
      <x:c r="N6" s="17" t="n">
        <x:f>O20</x:f>
        <x:v>0.65</x:v>
      </x:c>
      <x:c r="O6" s="17"/>
      <x:c r="P6" s="17"/>
    </x:row>
    <x:row r="7">
      <x:c r="A7" s="7"/>
      <x:c r="B7" s="7"/>
      <x:c r="C7" s="7"/>
      <x:c r="D7" s="7"/>
      <x:c r="E7" s="57"/>
      <x:c r="F7" s="22" t="str">
        <x:v>Solution A — Modèle 0D</x:v>
      </x:c>
      <x:c r="G7" s="22"/>
      <x:c r="H7" s="22"/>
      <x:c r="I7" s="57"/>
      <x:c r="J7" s="24" t="str">
        <x:v>Solution B — Modèle 1D</x:v>
      </x:c>
      <x:c r="K7" s="24"/>
      <x:c r="L7" s="24"/>
      <x:c r="M7" s="57"/>
      <x:c r="N7" s="26" t="str">
        <x:v>Solution C — Entrée-sortie</x:v>
      </x:c>
      <x:c r="O7" s="26"/>
      <x:c r="P7" s="26"/>
    </x:row>
    <x:row r="8" ht="42" customHeight="1">
      <x:c r="A8" s="60" t="str">
        <x:v>Priorité</x:v>
      </x:c>
      <x:c r="B8" s="60" t="str">
        <x:v>N°</x:v>
      </x:c>
      <x:c r="C8" s="60" t="str">
        <x:v>Critère de décision</x:v>
      </x:c>
      <x:c r="D8" s="60" t="str">
        <x:v>Poids</x:v>
      </x:c>
      <x:c r="E8" s="58"/>
      <x:c r="F8" s="65" t="str">
        <x:v>Pointage
sur 10</x:v>
      </x:c>
      <x:c r="G8" s="65" t="str">
        <x:v>Résultat
pondéré</x:v>
      </x:c>
      <x:c r="H8" s="65" t="str">
        <x:v>Commentaires</x:v>
      </x:c>
      <x:c r="I8" s="58"/>
      <x:c r="J8" s="71" t="str">
        <x:v>Pointage
sur 10</x:v>
      </x:c>
      <x:c r="K8" s="71" t="str">
        <x:v>Résultat
pondéré</x:v>
      </x:c>
      <x:c r="L8" s="71" t="str">
        <x:v>Commentaires</x:v>
      </x:c>
      <x:c r="M8" s="58"/>
      <x:c r="N8" s="75" t="str">
        <x:v>Pointage
sur 10</x:v>
      </x:c>
      <x:c r="O8" s="75" t="str">
        <x:v>Résultat
pondéré</x:v>
      </x:c>
      <x:c r="P8" s="75" t="str">
        <x:v>Commentaires</x:v>
      </x:c>
    </x:row>
    <x:row r="9" ht="28" customHeight="1">
      <x:c r="A9" s="79"/>
      <x:c r="B9" s="79" t="str">
        <x:v>F1</x:v>
      </x:c>
      <x:c r="C9" s="79" t="str">
        <x:v>Fonctionnement normal</x:v>
      </x:c>
      <x:c r="D9" s="80" t="n">
        <x:f>SUM(D10,D11,D12)</x:f>
        <x:v>0.4</x:v>
      </x:c>
      <x:c r="E9" s="59"/>
      <x:c r="F9" s="79" t="n">
        <x:f>SUM(F10,F11,F12)</x:f>
        <x:v>25</x:v>
      </x:c>
      <x:c r="G9" s="81" t="n">
        <x:f>IF(COUNT(G10,G11,G12)=3,SUM(G10,G11,G12),"À compléter")</x:f>
        <x:v>0.32499999999999996</x:v>
      </x:c>
      <x:c r="H9" s="79" t="str">
        <x:v>Somme des contributions de la fonctionnalité</x:v>
      </x:c>
      <x:c r="I9" s="59"/>
      <x:c r="J9" s="79" t="n">
        <x:f>SUM(J10,J11,J12)</x:f>
        <x:v>25</x:v>
      </x:c>
      <x:c r="K9" s="81" t="n">
        <x:f>IF(COUNT(K10,K11,K12)=3,SUM(K10,K11,K12),"À compléter")</x:f>
        <x:v>0.32499999999999996</x:v>
      </x:c>
      <x:c r="L9" s="79" t="str">
        <x:v>Somme des contributions de la fonctionnalité</x:v>
      </x:c>
      <x:c r="M9" s="59"/>
      <x:c r="N9" s="79" t="n">
        <x:f>SUM(N10,N11,N12)</x:f>
        <x:v>15</x:v>
      </x:c>
      <x:c r="O9" s="81" t="n">
        <x:f>IF(COUNT(O10,O11,O12)=3,SUM(O10,O11,O12),"À compléter")</x:f>
        <x:v>0.2</x:v>
      </x:c>
      <x:c r="P9" s="79" t="str">
        <x:v>Somme des contributions de la fonctionnalité</x:v>
      </x:c>
    </x:row>
    <x:row r="10" ht="65" customHeight="1">
      <x:c r="A10" s="63" t="n">
        <x:v>1</x:v>
      </x:c>
      <x:c r="B10" s="63" t="str">
        <x:v>C1</x:v>
      </x:c>
      <x:c r="C10" s="63" t="str">
        <x:v>Concordance en régime établi</x:v>
      </x:c>
      <x:c r="D10" s="64" t="n">
        <x:v>0.15</x:v>
      </x:c>
      <x:c r="E10" s="58"/>
      <x:c r="F10" s="67" t="n">
        <x:v>7.5</x:v>
      </x:c>
      <x:c r="G10" s="68" t="n">
        <x:f>IF(ISNUMBER(F10),IF(AND(F10&gt;=0,F10&lt;=10),F10/10*$D10,"Invalide"),"À compléter")</x:f>
        <x:v>0.11249999999999999</x:v>
      </x:c>
      <x:c r="H10" s="69" t="str">
        <x:v>7,5 estimé. Bilans par volumes adaptés aux valeurs moyennes. Écart réel à mesurer.</x:v>
      </x:c>
      <x:c r="I10" s="58"/>
      <x:c r="J10" s="72" t="n">
        <x:v>7.5</x:v>
      </x:c>
      <x:c r="K10" s="73" t="n">
        <x:f>IF(ISNUMBER(J10),IF(AND(J10&gt;=0,J10&lt;=10),J10/10*$D10,"Invalide"),"À compléter")</x:f>
        <x:v>0.11249999999999999</x:v>
      </x:c>
      <x:c r="L10" s="74" t="str">
        <x:v>7,5 estimé. Même note que le 0D faute de comparaison. Plus de mailles ne prouve pas une meilleure exactitude.</x:v>
      </x:c>
      <x:c r="M10" s="58"/>
      <x:c r="N10" s="76" t="n">
        <x:v>5</x:v>
      </x:c>
      <x:c r="O10" s="77" t="n">
        <x:f>IF(ISNUMBER(N10),IF(AND(N10&gt;=0,N10&lt;=10),N10/10*$D10,"Invalide"),"À compléter")</x:f>
        <x:v>0.075</x:v>
      </x:c>
      <x:c r="P10" s="78" t="str">
        <x:v>5 estimé. Références d’identification non encore fixées. Concordance non mesurée.</x:v>
      </x:c>
    </x:row>
    <x:row r="11" ht="65" customHeight="1">
      <x:c r="A11" s="63" t="n">
        <x:v>1</x:v>
      </x:c>
      <x:c r="B11" s="63" t="str">
        <x:v>C2</x:v>
      </x:c>
      <x:c r="C11" s="63" t="str">
        <x:v>Concordance des réponses transitoires</x:v>
      </x:c>
      <x:c r="D11" s="64" t="n">
        <x:v>0.15</x:v>
      </x:c>
      <x:c r="E11" s="58"/>
      <x:c r="F11" s="67" t="n">
        <x:v>7.5</x:v>
      </x:c>
      <x:c r="G11" s="68" t="n">
        <x:f>IF(ISNUMBER(F11),IF(AND(F11&gt;=0,F11&lt;=10),F11/10*$D11,"Invalide"),"À compléter")</x:f>
        <x:v>0.11249999999999999</x:v>
      </x:c>
      <x:c r="H11" s="69" t="str">
        <x:v>7,5 estimé. Inertie représentable. Influence du découpage à vérifier.</x:v>
      </x:c>
      <x:c r="I11" s="58"/>
      <x:c r="J11" s="72" t="n">
        <x:v>7.5</x:v>
      </x:c>
      <x:c r="K11" s="73" t="n">
        <x:f>IF(ISNUMBER(J11),IF(AND(J11&gt;=0,J11&lt;=10),J11/10*$D11,"Invalide"),"À compléter")</x:f>
        <x:v>0.11249999999999999</x:v>
      </x:c>
      <x:c r="L11" s="74" t="str">
        <x:v>7,5 estimé. Propagation spatiale représentable. Maillage et réponse à vérifier.</x:v>
      </x:c>
      <x:c r="M11" s="58"/>
      <x:c r="N11" s="76" t="n">
        <x:v>5</x:v>
      </x:c>
      <x:c r="O11" s="77" t="n">
        <x:f>IF(ISNUMBER(N11),IF(AND(N11&gt;=0,N11&lt;=10),N11/10*$D11,"Invalide"),"À compléter")</x:f>
        <x:v>0.075</x:v>
      </x:c>
      <x:c r="P11" s="78" t="str">
        <x:v>5 estimé. Réponses identifiables sous réserve de données adéquates. Test indépendant à réaliser.</x:v>
      </x:c>
    </x:row>
    <x:row r="12" ht="65" customHeight="1">
      <x:c r="A12" s="63" t="n">
        <x:v>2</x:v>
      </x:c>
      <x:c r="B12" s="63" t="str">
        <x:v>C3</x:v>
      </x:c>
      <x:c r="C12" s="63" t="str">
        <x:v>Cohérence des bilans physiques</x:v>
      </x:c>
      <x:c r="D12" s="64" t="n">
        <x:v>0.1</x:v>
      </x:c>
      <x:c r="E12" s="58"/>
      <x:c r="F12" s="67" t="n">
        <x:v>10</x:v>
      </x:c>
      <x:c r="G12" s="68" t="n">
        <x:f>IF(ISNUMBER(F12),IF(AND(F12&gt;=0,F12&lt;=10),F12/10*$D12,"Invalide"),"À compléter")</x:f>
        <x:v>0.1</x:v>
      </x:c>
      <x:c r="H12" s="69" t="str">
        <x:v>10 hypothétique. Structure fondée sur les bilans. Fermeture numérique non vérifiée.</x:v>
      </x:c>
      <x:c r="I12" s="58"/>
      <x:c r="J12" s="72" t="n">
        <x:v>10</x:v>
      </x:c>
      <x:c r="K12" s="73" t="n">
        <x:f>IF(ISNUMBER(J12),IF(AND(J12&gt;=0,J12&lt;=10),J12/10*$D12,"Invalide"),"À compléter")</x:f>
        <x:v>0.1</x:v>
      </x:c>
      <x:c r="L12" s="74" t="str">
        <x:v>10 hypothétique. Bilans par maille et flux conservatifs à mettre en œuvre puis vérifier.</x:v>
      </x:c>
      <x:c r="M12" s="58"/>
      <x:c r="N12" s="76" t="n">
        <x:v>5</x:v>
      </x:c>
      <x:c r="O12" s="77" t="n">
        <x:f>IF(ISNUMBER(N12),IF(AND(N12&gt;=0,N12&lt;=10),N12/10*$D12,"Invalide"),"À compléter")</x:f>
        <x:v>0.05</x:v>
      </x:c>
      <x:c r="P12" s="78" t="str">
        <x:v>5 estimé. Cohérence physique à établir, les bilans ne sont pas automatiquement imposés.</x:v>
      </x:c>
    </x:row>
    <x:row r="13" ht="28" customHeight="1">
      <x:c r="A13" s="79"/>
      <x:c r="B13" s="79" t="str">
        <x:v>F2</x:v>
      </x:c>
      <x:c r="C13" s="79" t="str">
        <x:v>Défaillances physiques</x:v>
      </x:c>
      <x:c r="D13" s="80" t="n">
        <x:f>SUM(D14,D15,D16)</x:f>
        <x:v>0.4</x:v>
      </x:c>
      <x:c r="E13" s="59"/>
      <x:c r="F13" s="79" t="n">
        <x:f>SUM(F14,F15,F16)</x:f>
        <x:v>22.5</x:v>
      </x:c>
      <x:c r="G13" s="81" t="n">
        <x:f>IF(COUNT(G14,G15,G16)=3,SUM(G14,G15,G16),"À compléter")</x:f>
        <x:v>0.2875</x:v>
      </x:c>
      <x:c r="H13" s="79" t="str">
        <x:v>Somme des contributions de la fonctionnalité</x:v>
      </x:c>
      <x:c r="I13" s="59"/>
      <x:c r="J13" s="79" t="n">
        <x:f>SUM(J14,J15,J16)</x:f>
        <x:v>22.5</x:v>
      </x:c>
      <x:c r="K13" s="81" t="n">
        <x:f>IF(COUNT(K14,K15,K16)=3,SUM(K14,K15,K16),"À compléter")</x:f>
        <x:v>0.2875</x:v>
      </x:c>
      <x:c r="L13" s="79" t="str">
        <x:v>Somme des contributions de la fonctionnalité</x:v>
      </x:c>
      <x:c r="M13" s="59"/>
      <x:c r="N13" s="79" t="n">
        <x:f>SUM(N14,N15,N16)</x:f>
        <x:v>20</x:v>
      </x:c>
      <x:c r="O13" s="81" t="n">
        <x:f>IF(COUNT(O14,O15,O16)=3,SUM(O14,O15,O16),"À compléter")</x:f>
        <x:v>0.25</x:v>
      </x:c>
      <x:c r="P13" s="79" t="str">
        <x:v>Somme des contributions de la fonctionnalité</x:v>
      </x:c>
    </x:row>
    <x:row r="14" ht="65" customHeight="1">
      <x:c r="A14" s="63" t="n">
        <x:v>1</x:v>
      </x:c>
      <x:c r="B14" s="63" t="str">
        <x:v>C4</x:v>
      </x:c>
      <x:c r="C14" s="63" t="str">
        <x:v>Couverture des défaillances</x:v>
      </x:c>
      <x:c r="D14" s="64" t="n">
        <x:v>0.15</x:v>
      </x:c>
      <x:c r="E14" s="58"/>
      <x:c r="F14" s="67" t="n">
        <x:v>7.5</x:v>
      </x:c>
      <x:c r="G14" s="68" t="n">
        <x:f>IF(ISNUMBER(F14),IF(AND(F14&gt;=0,F14&lt;=10),F14/10*$D14,"Invalide"),"À compléter")</x:f>
        <x:v>0.11249999999999999</x:v>
      </x:c>
      <x:c r="H14" s="69" t="str">
        <x:v>7,5 hypothétique. Liste des défauts à confirmer. Ce pointage n’est pas un taux de couverture mesuré.</x:v>
      </x:c>
      <x:c r="I14" s="58"/>
      <x:c r="J14" s="72" t="n">
        <x:v>7.5</x:v>
      </x:c>
      <x:c r="K14" s="73" t="n">
        <x:f>IF(ISNUMBER(J14),IF(AND(J14&gt;=0,J14&lt;=10),J14/10*$D14,"Invalide"),"À compléter")</x:f>
        <x:v>0.11249999999999999</x:v>
      </x:c>
      <x:c r="L14" s="74" t="str">
        <x:v>7,5 hypothétique. Défauts locaux potentiellement représentables. Couverture réelle à établir.</x:v>
      </x:c>
      <x:c r="M14" s="58"/>
      <x:c r="N14" s="76" t="n">
        <x:v>5</x:v>
      </x:c>
      <x:c r="O14" s="77" t="n">
        <x:f>IF(ISNUMBER(N14),IF(AND(N14&gt;=0,N14&lt;=10),N14/10*$D14,"Invalide"),"À compléter")</x:f>
        <x:v>0.075</x:v>
      </x:c>
      <x:c r="P14" s="78" t="str">
        <x:v>5 hypothétique. Références de défauts nécessaires. Ce pointage n’est pas un taux de couverture mesuré.</x:v>
      </x:c>
    </x:row>
    <x:row r="15" ht="65" customHeight="1">
      <x:c r="A15" s="63" t="n">
        <x:v>1</x:v>
      </x:c>
      <x:c r="B15" s="63" t="str">
        <x:v>C5</x:v>
      </x:c>
      <x:c r="C15" s="63" t="str">
        <x:v>Cohérence des effets des défauts</x:v>
      </x:c>
      <x:c r="D15" s="64" t="n">
        <x:v>0.15</x:v>
      </x:c>
      <x:c r="E15" s="58"/>
      <x:c r="F15" s="67" t="n">
        <x:v>5</x:v>
      </x:c>
      <x:c r="G15" s="68" t="n">
        <x:f>IF(ISNUMBER(F15),IF(AND(F15&gt;=0,F15&lt;=10),F15/10*$D15,"Invalide"),"À compléter")</x:f>
        <x:v>0.075</x:v>
      </x:c>
      <x:c r="H15" s="69" t="str">
        <x:v>5 provisoire. Effets attendus justifiables, amplitude et dynamique non encore vérifiées.</x:v>
      </x:c>
      <x:c r="I15" s="58"/>
      <x:c r="J15" s="72" t="n">
        <x:v>5</x:v>
      </x:c>
      <x:c r="K15" s="73" t="n">
        <x:f>IF(ISNUMBER(J15),IF(AND(J15&gt;=0,J15&lt;=10),J15/10*$D15,"Invalide"),"À compléter")</x:f>
        <x:v>0.075</x:v>
      </x:c>
      <x:c r="L15" s="74" t="str">
        <x:v>5 provisoire. Effets attendus justifiables, convergence et résultats quantitatifs non vérifiés.</x:v>
      </x:c>
      <x:c r="M15" s="58"/>
      <x:c r="N15" s="76" t="n">
        <x:v>5</x:v>
      </x:c>
      <x:c r="O15" s="77" t="n">
        <x:f>IF(ISNUMBER(N15),IF(AND(N15&gt;=0,N15&lt;=10),N15/10*$D15,"Invalide"),"À compléter")</x:f>
        <x:v>0.075</x:v>
      </x:c>
      <x:c r="P15" s="78" t="str">
        <x:v>5 provisoire. Lien défaut-paramètres à justifier avant vérification quantitative.</x:v>
      </x:c>
    </x:row>
    <x:row r="16" ht="65" customHeight="1">
      <x:c r="A16" s="63" t="n">
        <x:v>2</x:v>
      </x:c>
      <x:c r="B16" s="63" t="str">
        <x:v>C6</x:v>
      </x:c>
      <x:c r="C16" s="63" t="str">
        <x:v>Réglage des défauts</x:v>
      </x:c>
      <x:c r="D16" s="64" t="n">
        <x:v>0.1</x:v>
      </x:c>
      <x:c r="E16" s="58"/>
      <x:c r="F16" s="67" t="n">
        <x:v>10</x:v>
      </x:c>
      <x:c r="G16" s="68" t="n">
        <x:f>IF(ISNUMBER(F16),IF(AND(F16&gt;=0,F16&lt;=10),F16/10*$D16,"Invalide"),"À compléter")</x:f>
        <x:v>0.1</x:v>
      </x:c>
      <x:c r="H16" s="69" t="str">
        <x:v>10 sous hypothèse d’un instant réglable et d’une sévérité paramétrable sur une plage.</x:v>
      </x:c>
      <x:c r="I16" s="58"/>
      <x:c r="J16" s="72" t="n">
        <x:v>10</x:v>
      </x:c>
      <x:c r="K16" s="73" t="n">
        <x:f>IF(ISNUMBER(J16),IF(AND(J16&gt;=0,J16&lt;=10),J16/10*$D16,"Invalide"),"À compléter")</x:f>
        <x:v>0.1</x:v>
      </x:c>
      <x:c r="L16" s="74" t="str">
        <x:v>10 sous hypothèse d’un instant et d’une sévérité réglables. Localisation si nécessaire.</x:v>
      </x:c>
      <x:c r="M16" s="58"/>
      <x:c r="N16" s="76" t="n">
        <x:v>10</x:v>
      </x:c>
      <x:c r="O16" s="77" t="n">
        <x:f>IF(ISNUMBER(N16),IF(AND(N16&gt;=0,N16&lt;=10),N16/10*$D16,"Invalide"),"À compléter")</x:f>
        <x:v>0.1</x:v>
      </x:c>
      <x:c r="P16" s="78" t="str">
        <x:v>10 sous hypothèse de paramètres de défaut disponibles avec instant et sévérité réglables.</x:v>
      </x:c>
    </x:row>
    <x:row r="17" ht="28" customHeight="1">
      <x:c r="A17" s="79"/>
      <x:c r="B17" s="79" t="str">
        <x:v>F3</x:v>
      </x:c>
      <x:c r="C17" s="79" t="str">
        <x:v>Configuration et reproductibilité</x:v>
      </x:c>
      <x:c r="D17" s="80" t="n">
        <x:f>SUM(D18,D19)</x:f>
        <x:v>0.2</x:v>
      </x:c>
      <x:c r="E17" s="59"/>
      <x:c r="F17" s="79" t="n">
        <x:f>SUM(F18,F19)</x:f>
        <x:v>20</x:v>
      </x:c>
      <x:c r="G17" s="81" t="n">
        <x:f>IF(COUNT(G18,G19)=2,SUM(G18,G19),"À compléter")</x:f>
        <x:v>0.2</x:v>
      </x:c>
      <x:c r="H17" s="79" t="str">
        <x:v>Somme des contributions de la fonctionnalité</x:v>
      </x:c>
      <x:c r="I17" s="59"/>
      <x:c r="J17" s="79" t="n">
        <x:f>SUM(J18,J19)</x:f>
        <x:v>20</x:v>
      </x:c>
      <x:c r="K17" s="81" t="n">
        <x:f>IF(COUNT(K18,K19)=2,SUM(K18,K19),"À compléter")</x:f>
        <x:v>0.2</x:v>
      </x:c>
      <x:c r="L17" s="79" t="str">
        <x:v>Somme des contributions de la fonctionnalité</x:v>
      </x:c>
      <x:c r="M17" s="59"/>
      <x:c r="N17" s="79" t="n">
        <x:f>SUM(N18,N19)</x:f>
        <x:v>20</x:v>
      </x:c>
      <x:c r="O17" s="81" t="n">
        <x:f>IF(COUNT(O18,O19)=2,SUM(O18,O19),"À compléter")</x:f>
        <x:v>0.2</x:v>
      </x:c>
      <x:c r="P17" s="79" t="str">
        <x:v>Somme des contributions de la fonctionnalité</x:v>
      </x:c>
    </x:row>
    <x:row r="18" ht="65" customHeight="1">
      <x:c r="A18" s="63" t="n">
        <x:v>2</x:v>
      </x:c>
      <x:c r="B18" s="63" t="str">
        <x:v>C7</x:v>
      </x:c>
      <x:c r="C18" s="63" t="str">
        <x:v>Configuration générale</x:v>
      </x:c>
      <x:c r="D18" s="64" t="n">
        <x:v>0.1</x:v>
      </x:c>
      <x:c r="E18" s="58"/>
      <x:c r="F18" s="67" t="n">
        <x:v>10</x:v>
      </x:c>
      <x:c r="G18" s="68" t="n">
        <x:f>IF(ISNUMBER(F18),IF(AND(F18&gt;=0,F18&lt;=10),F18/10*$D18,"Invalide"),"À compléter")</x:f>
        <x:v>0.1</x:v>
      </x:c>
      <x:c r="H18" s="69" t="str">
        <x:v>10 sous hypothèse du réglage des conditions initiales, entrées et durée.</x:v>
      </x:c>
      <x:c r="I18" s="58"/>
      <x:c r="J18" s="72" t="n">
        <x:v>10</x:v>
      </x:c>
      <x:c r="K18" s="73" t="n">
        <x:f>IF(ISNUMBER(J18),IF(AND(J18&gt;=0,J18&lt;=10),J18/10*$D18,"Invalide"),"À compléter")</x:f>
        <x:v>0.1</x:v>
      </x:c>
      <x:c r="L18" s="74" t="str">
        <x:v>10 sous hypothèse de tous les réglages nécessaires. Maillage et géométrie supplémentaires.</x:v>
      </x:c>
      <x:c r="M18" s="58"/>
      <x:c r="N18" s="76" t="n">
        <x:v>10</x:v>
      </x:c>
      <x:c r="O18" s="77" t="n">
        <x:f>IF(ISNUMBER(N18),IF(AND(N18&gt;=0,N18&lt;=10),N18/10*$D18,"Invalide"),"À compléter")</x:f>
        <x:v>0.1</x:v>
      </x:c>
      <x:c r="P18" s="78" t="str">
        <x:v>10 sous hypothèse du réglage des conditions initiales, entrées et durée.</x:v>
      </x:c>
    </x:row>
    <x:row r="19" ht="65" customHeight="1">
      <x:c r="A19" s="63" t="n">
        <x:v>2</x:v>
      </x:c>
      <x:c r="B19" s="63" t="str">
        <x:v>C8</x:v>
      </x:c>
      <x:c r="C19" s="63" t="str">
        <x:v>Reproductibilité</x:v>
      </x:c>
      <x:c r="D19" s="64" t="n">
        <x:v>0.1</x:v>
      </x:c>
      <x:c r="E19" s="58"/>
      <x:c r="F19" s="67" t="n">
        <x:v>10</x:v>
      </x:c>
      <x:c r="G19" s="68" t="n">
        <x:f>IF(ISNUMBER(F19),IF(AND(F19&gt;=0,F19&lt;=10),F19/10*$D19,"Invalide"),"À compléter")</x:f>
        <x:v>0.1</x:v>
      </x:c>
      <x:c r="H19" s="69" t="str">
        <x:v>10 hypothétique. Répétabilité attendue pour un calcul déterministe, trois répétitions à réaliser.</x:v>
      </x:c>
      <x:c r="I19" s="58"/>
      <x:c r="J19" s="72" t="n">
        <x:v>10</x:v>
      </x:c>
      <x:c r="K19" s="73" t="n">
        <x:f>IF(ISNUMBER(J19),IF(AND(J19&gt;=0,J19&lt;=10),J19/10*$D19,"Invalide"),"À compléter")</x:f>
        <x:v>0.1</x:v>
      </x:c>
      <x:c r="L19" s="74" t="str">
        <x:v>10 hypothétique. Conserver maillage et réglages. Trois répétitions à réaliser.</x:v>
      </x:c>
      <x:c r="M19" s="58"/>
      <x:c r="N19" s="76" t="n">
        <x:v>10</x:v>
      </x:c>
      <x:c r="O19" s="77" t="n">
        <x:f>IF(ISNUMBER(N19),IF(AND(N19&gt;=0,N19&lt;=10),N19/10*$D19,"Invalide"),"À compléter")</x:f>
        <x:v>0.1</x:v>
      </x:c>
      <x:c r="P19" s="78" t="str">
        <x:v>10 hypothétique. Même configuration et mêmes paramètres. Trois répétitions à réaliser.</x:v>
      </x:c>
    </x:row>
    <x:row r="20" ht="30" customHeight="1">
      <x:c r="A20" s="61"/>
      <x:c r="B20" s="61"/>
      <x:c r="C20" s="61" t="str">
        <x:v>TOTAL</x:v>
      </x:c>
      <x:c r="D20" s="62" t="n">
        <x:f>SUM(D9,D13,D17)</x:f>
        <x:v>1</x:v>
      </x:c>
      <x:c r="E20" s="59"/>
      <x:c r="F20" s="70" t="n">
        <x:f>IF(ISNUMBER(G20),G20*10,"À compléter")</x:f>
        <x:v>8.125</x:v>
      </x:c>
      <x:c r="G20" s="66" t="n">
        <x:f>IF(COUNT(G10,G11,G12,G14,G15,G16,G18,G19)=8,SUM(G9,G13,G17),"À compléter")</x:f>
        <x:v>0.8125</x:v>
      </x:c>
      <x:c r="H20" s="61" t="str">
        <x:v>Total hypothétique, à valider par l’équipe</x:v>
      </x:c>
      <x:c r="I20" s="59"/>
      <x:c r="J20" s="70" t="n">
        <x:f>IF(ISNUMBER(K20),K20*10,"À compléter")</x:f>
        <x:v>8.125</x:v>
      </x:c>
      <x:c r="K20" s="66" t="n">
        <x:f>IF(COUNT(K10,K11,K12,K14,K15,K16,K18,K19)=8,SUM(K9,K13,K17),"À compléter")</x:f>
        <x:v>0.8125</x:v>
      </x:c>
      <x:c r="L20" s="61" t="str">
        <x:v>Total hypothétique, à valider par l’équipe</x:v>
      </x:c>
      <x:c r="M20" s="59"/>
      <x:c r="N20" s="70" t="n">
        <x:f>IF(ISNUMBER(O20),O20*10,"À compléter")</x:f>
        <x:v>6.5</x:v>
      </x:c>
      <x:c r="O20" s="66" t="n">
        <x:f>IF(COUNT(O10,O11,O12,O14,O15,O16,O18,O19)=8,SUM(O9,O13,O17),"À compléter")</x:f>
        <x:v>0.65</x:v>
      </x:c>
      <x:c r="P20" s="61" t="str">
        <x:v>Total hypothétique, à valider par l’équipe</x:v>
      </x:c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82" t="str">
        <x:v>Lecture des résultats</x:v>
      </x:c>
      <x:c r="B22" s="82"/>
      <x:c r="C22" s="82"/>
      <x:c r="D22" s="82"/>
      <x:c r="E22" s="82"/>
      <x:c r="F22" s="82"/>
      <x:c r="G22" s="82"/>
      <x:c r="H22" s="82"/>
      <x:c r="I22" s="82"/>
      <x:c r="J22" s="82"/>
      <x:c r="K22" s="82"/>
      <x:c r="L22" s="82"/>
      <x:c r="M22" s="82"/>
      <x:c r="N22" s="82"/>
      <x:c r="O22" s="82"/>
      <x:c r="P22" s="82"/>
    </x:row>
    <x:row r="23" ht="26" customHeight="1">
      <x:c r="A23" s="7" t="str">
        <x:v>Les mêmes notes pour A et B expriment l’absence de preuve permettant de les départager. Le modèle plus détaillé ne reçoit pas automatiquement une meilleure note.</x:v>
      </x:c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</x:row>
    <x:row r="24" ht="26" customHeight="1">
      <x:c r="A24" s="7" t="str">
        <x:v>Le pointage plus faible de C suppose que les données nécessaires à l’identification et aux défauts ne sont pas encore disponibles. À revoir si ces références existent.</x:v>
      </x:c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</x:row>
    <x:row r="25" ht="26" customHeight="1">
      <x:c r="A25" s="7" t="str">
        <x:v>Les notes de 10 à C6, C7 et C8 supposent les fonctions prévues réalisées et vérifiées. Elles ne constituent pas une observation de leur fonctionnement.</x:v>
      </x:c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</x:row>
    <x:row r="26" ht="26" customHeight="1">
      <x:c r="A26" s="7" t="str">
        <x:v>Ce scénario de notation ne remplace pas les barèmes quantitatifs de l’étape 4. Remplacer les hypothèses par les notes justifiées lorsque les références et essais seront disponibles.</x:v>
      </x:c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</x:row>
    <x:row r="27" ht="26" customHeight="1">
      <x:c r="A27" s="7" t="str">
        <x:v>Calcul : contribution = pointage / 10 × poids. Les pourcentages du haut, les sous-totaux et les totaux se recalculent à partir des cellules bleues.</x:v>
      </x:c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</x:row>
    <x:row r="28" ht="26" customHeight="1">
      <x:c r="A28" s="7" t="str">
        <x:v>Les pointages des lignes grises sont des sommes de notes, comme dans le modèle fourni. Le pointage total est la note pondérée ramenée sur 10.</x:v>
      </x:c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</x:row>
    <x:row r="29" ht="26" customHeight="1">
      <x:c r="A29" s="7" t="str">
        <x:v>Les exigences obligatoires restent à vérifier séparément. Discuter aussi de la charge de réalisation, des délais, des compétences et des interfaces avec les autres fonctions.</x:v>
      </x:c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</x:row>
    <x:row r="30" ht="26" customHeight="1">
      <x:c r="A30" s="83" t="str">
        <x:v>Sources : mise en page d’après image(8).png fournie. Critères et pondérations de SS-1 élaborés dans la discussion. Pointages : hypothèses explicites de présélection, aucun résultat mesuré.</x:v>
      </x:c>
      <x:c r="B30" s="83"/>
      <x:c r="C30" s="83"/>
      <x:c r="D30" s="83"/>
      <x:c r="E30" s="83"/>
      <x:c r="F30" s="83"/>
      <x:c r="G30" s="83"/>
      <x:c r="H30" s="83"/>
      <x:c r="I30" s="83"/>
      <x:c r="J30" s="83"/>
      <x:c r="K30" s="83"/>
      <x:c r="L30" s="83"/>
      <x:c r="M30" s="83"/>
      <x:c r="N30" s="83"/>
      <x:c r="O30" s="83"/>
      <x:c r="P30" s="83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</x:sheetData>
  <x:mergeCells>
    <x:mergeCell ref="A1:P1"/>
    <x:mergeCell ref="A2:P2"/>
    <x:mergeCell ref="A3:P3"/>
    <x:mergeCell ref="A5:D7"/>
    <x:mergeCell ref="F5:H5"/>
    <x:mergeCell ref="J5:P5"/>
    <x:mergeCell ref="F6:H6"/>
    <x:mergeCell ref="J6:L6"/>
    <x:mergeCell ref="N6:P6"/>
    <x:mergeCell ref="F7:H7"/>
    <x:mergeCell ref="J7:L7"/>
    <x:mergeCell ref="N7:P7"/>
    <x:mergeCell ref="E5:E20"/>
    <x:mergeCell ref="I5:I20"/>
    <x:mergeCell ref="M6:M20"/>
    <x:mergeCell ref="A22:P22"/>
    <x:mergeCell ref="A23:P23"/>
    <x:mergeCell ref="A24:P24"/>
    <x:mergeCell ref="A25:P25"/>
    <x:mergeCell ref="A26:P26"/>
    <x:mergeCell ref="A27:P27"/>
    <x:mergeCell ref="A28:P28"/>
    <x:mergeCell ref="A29:P29"/>
    <x:mergeCell ref="A30:P30"/>
  </x:mergeCells>
  <x:dataValidations count="24">
    <x:dataValidation type="decimal" operator="between" sqref="F10">
      <x:formula1>0</x:formula1>
      <x:formula2>10</x:formula2>
    </x:dataValidation>
    <x:dataValidation type="decimal" operator="between" sqref="J10">
      <x:formula1>0</x:formula1>
      <x:formula2>10</x:formula2>
    </x:dataValidation>
    <x:dataValidation type="decimal" operator="between" sqref="N10">
      <x:formula1>0</x:formula1>
      <x:formula2>10</x:formula2>
    </x:dataValidation>
    <x:dataValidation type="decimal" operator="between" sqref="F11">
      <x:formula1>0</x:formula1>
      <x:formula2>10</x:formula2>
    </x:dataValidation>
    <x:dataValidation type="decimal" operator="between" sqref="J11">
      <x:formula1>0</x:formula1>
      <x:formula2>10</x:formula2>
    </x:dataValidation>
    <x:dataValidation type="decimal" operator="between" sqref="N11">
      <x:formula1>0</x:formula1>
      <x:formula2>10</x:formula2>
    </x:dataValidation>
    <x:dataValidation type="decimal" operator="between" sqref="F12">
      <x:formula1>0</x:formula1>
      <x:formula2>10</x:formula2>
    </x:dataValidation>
    <x:dataValidation type="decimal" operator="between" sqref="J12">
      <x:formula1>0</x:formula1>
      <x:formula2>10</x:formula2>
    </x:dataValidation>
    <x:dataValidation type="decimal" operator="between" sqref="N12">
      <x:formula1>0</x:formula1>
      <x:formula2>10</x:formula2>
    </x:dataValidation>
    <x:dataValidation type="decimal" operator="between" sqref="F14">
      <x:formula1>0</x:formula1>
      <x:formula2>10</x:formula2>
    </x:dataValidation>
    <x:dataValidation type="decimal" operator="between" sqref="J14">
      <x:formula1>0</x:formula1>
      <x:formula2>10</x:formula2>
    </x:dataValidation>
    <x:dataValidation type="decimal" operator="between" sqref="N14">
      <x:formula1>0</x:formula1>
      <x:formula2>10</x:formula2>
    </x:dataValidation>
    <x:dataValidation type="decimal" operator="between" sqref="F15">
      <x:formula1>0</x:formula1>
      <x:formula2>10</x:formula2>
    </x:dataValidation>
    <x:dataValidation type="decimal" operator="between" sqref="J15">
      <x:formula1>0</x:formula1>
      <x:formula2>10</x:formula2>
    </x:dataValidation>
    <x:dataValidation type="decimal" operator="between" sqref="N15">
      <x:formula1>0</x:formula1>
      <x:formula2>10</x:formula2>
    </x:dataValidation>
    <x:dataValidation type="decimal" operator="between" sqref="F16">
      <x:formula1>0</x:formula1>
      <x:formula2>10</x:formula2>
    </x:dataValidation>
    <x:dataValidation type="decimal" operator="between" sqref="J16">
      <x:formula1>0</x:formula1>
      <x:formula2>10</x:formula2>
    </x:dataValidation>
    <x:dataValidation type="decimal" operator="between" sqref="N16">
      <x:formula1>0</x:formula1>
      <x:formula2>10</x:formula2>
    </x:dataValidation>
    <x:dataValidation type="decimal" operator="between" sqref="F18">
      <x:formula1>0</x:formula1>
      <x:formula2>10</x:formula2>
    </x:dataValidation>
    <x:dataValidation type="decimal" operator="between" sqref="J18">
      <x:formula1>0</x:formula1>
      <x:formula2>10</x:formula2>
    </x:dataValidation>
    <x:dataValidation type="decimal" operator="between" sqref="N18">
      <x:formula1>0</x:formula1>
      <x:formula2>10</x:formula2>
    </x:dataValidation>
    <x:dataValidation type="decimal" operator="between" sqref="F19">
      <x:formula1>0</x:formula1>
      <x:formula2>10</x:formula2>
    </x:dataValidation>
    <x:dataValidation type="decimal" operator="between" sqref="J19">
      <x:formula1>0</x:formula1>
      <x:formula2>10</x:formula2>
    </x:dataValidation>
    <x:dataValidation type="decimal" operator="between" sqref="N19">
      <x:formula1>0</x:formula1>
      <x:formula2>10</x:formula2>
    </x:dataValidation>
  </x:dataValidations>
  <x:pageMargins left="0.7" right="0.7" top="0.75" bottom="0.75" header="0.3" footer="0.3"/>
</x:worksheet>
</file>