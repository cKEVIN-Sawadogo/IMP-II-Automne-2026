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tape 5 - Analyse" sheetId="1" state="visible" r:id="rId3"/>
    <sheet name="Synthèse" sheetId="2" state="visible" r:id="rId4"/>
    <sheet name="Barèm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<sst xmlns="http://schemas.openxmlformats.org/spreadsheetml/2006/main" count="160" uniqueCount="131">
  <si>
    <t xml:space="preserve">Évaluation des concepts — SS-6</t>
  </si>
  <si>
    <t xml:space="preserve">Étape 5 : Analyse des solutions par caractéristiques voulues</t>
  </si>
  <si>
    <t xml:space="preserve">Fonction : Journaliser, horodater et protéger l'intégrité de la chaîne, de l'acquisition à l'affichage</t>
  </si>
  <si>
    <t xml:space="preserve">Projet jumeau numérique — SS-6 (lot L5)</t>
  </si>
  <si>
    <t xml:space="preserve">Solution préférée</t>
  </si>
  <si>
    <t xml:space="preserve">ALTERNATIVES</t>
  </si>
  <si>
    <t xml:space="preserve">Concept B : journal de données</t>
  </si>
  <si>
    <t xml:space="preserve">Concept A : journal d'événements</t>
  </si>
  <si>
    <t xml:space="preserve">Concept C : journal à deux niveaux</t>
  </si>
  <si>
    <t xml:space="preserve">Priorité</t>
  </si>
  <si>
    <t xml:space="preserve">No item</t>
  </si>
  <si>
    <t xml:space="preserve">Critère de décision</t>
  </si>
  <si>
    <t xml:space="preserve">Poids</t>
  </si>
  <si>
    <t xml:space="preserve">Niveau atteint</t>
  </si>
  <si>
    <t xml:space="preserve">Résultat pondéré</t>
  </si>
  <si>
    <t xml:space="preserve">Commentaires</t>
  </si>
  <si>
    <t xml:space="preserve">F1. Refaire le diagnostic</t>
  </si>
  <si>
    <t xml:space="preserve">Recalcul des décisions</t>
  </si>
  <si>
    <t xml:space="preserve">Toute la campagne rejouée à l'identique</t>
  </si>
  <si>
    <t xml:space="preserve">Valeurs non écrites (empreinte seulement) : reconstitution seule tant que SS-1 n'a pas démontré EX-F-02</t>
  </si>
  <si>
    <t xml:space="preserve">Recalcul limité à la fenêtre de 24 h du tampon</t>
  </si>
  <si>
    <t xml:space="preserve">Profondeur du recalcul</t>
  </si>
  <si>
    <t xml:space="preserve">Campagne entière</t>
  </si>
  <si>
    <t xml:space="preserve">Aucune valeur conservée : moins de 24 h</t>
  </si>
  <si>
    <t xml:space="preserve">24 h</t>
  </si>
  <si>
    <t xml:space="preserve">Indépendance de la vérification</t>
  </si>
  <si>
    <t xml:space="preserve">Recalcul par un tiers sur toute la campagne</t>
  </si>
  <si>
    <t xml:space="preserve">Vérificateur indépendant de la chaîne, mais pas du diagnostic (rien à recalculer)</t>
  </si>
  <si>
    <t xml:space="preserve">Indépendante seulement sur la fenêtre de 24 h</t>
  </si>
  <si>
    <t xml:space="preserve">F2. Prouver l'intégrité</t>
  </si>
  <si>
    <t xml:space="preserve">Détection des altérations</t>
  </si>
  <si>
    <t xml:space="preserve">Chaînage SHA-256</t>
  </si>
  <si>
    <t xml:space="preserve">Chaînage HMAC-SHA-256 + scellement (1000 entrées / 5 min)</t>
  </si>
  <si>
    <t xml:space="preserve">Arbre de Merkle + signature ECDSA</t>
  </si>
  <si>
    <t xml:space="preserve">Coût de vérification</t>
  </si>
  <si>
    <t xml:space="preserve">&lt; 1 min mais croissant avec la durée</t>
  </si>
  <si>
    <t xml:space="preserve">Recalcul de toute la chaîne : &lt; 1 min mais croissant</t>
  </si>
  <si>
    <t xml:space="preserve">Borné par bloc scellé</t>
  </si>
  <si>
    <t xml:space="preserve">Séparation des rôles</t>
  </si>
  <si>
    <t xml:space="preserve">Producteur détient la clé : limite écrite</t>
  </si>
  <si>
    <t xml:space="preserve">Clé détenue par le producteur : limite écrite dans la spécification</t>
  </si>
  <si>
    <t xml:space="preserve">Sceau signé par un rôle distinct</t>
  </si>
  <si>
    <t xml:space="preserve">F3. Temps et stockage</t>
  </si>
  <si>
    <t xml:space="preserve">Surcoût par cycle</t>
  </si>
  <si>
    <t xml:space="preserve">≈ 3 % de T (estimé, à mesurer)</t>
  </si>
  <si>
    <t xml:space="preserve">≈ 3 % de T estimé ; borne spécifiée ≤ 5 % au pire cas (EX-Q-01)</t>
  </si>
  <si>
    <t xml:space="preserve">Volume sur 100 h</t>
  </si>
  <si>
    <t xml:space="preserve">≈ 1,4 Go (384 o × 10 cycles/s)</t>
  </si>
  <si>
    <t xml:space="preserve">≤ 1,8 Go au pire (entrée bornée à 512 o × 10 cycles/s)</t>
  </si>
  <si>
    <t xml:space="preserve">≈ 0,33 Go (24 h de données)</t>
  </si>
  <si>
    <t xml:space="preserve">Effort de réalisation</t>
  </si>
  <si>
    <t xml:space="preserve">≈ 40 h</t>
  </si>
  <si>
    <t xml:space="preserve">≈ 40 h (chaîne, scellement, rotation, vérificateur)</t>
  </si>
  <si>
    <t xml:space="preserve">≈ 80 h (deux structures + clé)</t>
  </si>
  <si>
    <t xml:space="preserve">F4. Horodater et numéroter</t>
  </si>
  <si>
    <t xml:space="preserve">Numéro de séquence</t>
  </si>
  <si>
    <t xml:space="preserve">Continu</t>
  </si>
  <si>
    <t xml:space="preserve">Strictement croissant, jamais remis à zéro</t>
  </si>
  <si>
    <t xml:space="preserve">Ordre garanti</t>
  </si>
  <si>
    <t xml:space="preserve">Aucune inversion</t>
  </si>
  <si>
    <t xml:space="preserve">Un seul écrivain : ordre d'écriture = ordre des numéros</t>
  </si>
  <si>
    <t xml:space="preserve">Double horodatage</t>
  </si>
  <si>
    <t xml:space="preserve">Temps simulé et UTC</t>
  </si>
  <si>
    <t xml:space="preserve">Horodatage daté + horloge monotone + n° de cycle (temps simulé)</t>
  </si>
  <si>
    <t xml:space="preserve">F5. Complétude</t>
  </si>
  <si>
    <t xml:space="preserve">Complétude des acquisitions</t>
  </si>
  <si>
    <t xml:space="preserve">Entrée par entrée</t>
  </si>
  <si>
    <t xml:space="preserve">1 événement d'acquisition par cycle (EX-F-10)</t>
  </si>
  <si>
    <t xml:space="preserve">Par compteurs de bloc</t>
  </si>
  <si>
    <t xml:space="preserve">Complétude des décisions</t>
  </si>
  <si>
    <t xml:space="preserve">Avec l'affichage</t>
  </si>
  <si>
    <t xml:space="preserve">Chaîne couverte jusqu'à l'affichage (9 types d'événements)</t>
  </si>
  <si>
    <t xml:space="preserve">Simplicité de la vérification</t>
  </si>
  <si>
    <t xml:space="preserve">Un compte</t>
  </si>
  <si>
    <t xml:space="preserve">Un compte (continuité des numéros)</t>
  </si>
  <si>
    <t xml:space="preserve">Deux comptes à réconcilier</t>
  </si>
  <si>
    <t xml:space="preserve">TOTAL</t>
  </si>
  <si>
    <t xml:space="preserve">Conditions éliminatoires (vérifiées avant pondération)</t>
  </si>
  <si>
    <t xml:space="preserve">Toutes les altérations sont détectées</t>
  </si>
  <si>
    <t xml:space="preserve">Oui</t>
  </si>
  <si>
    <t xml:space="preserve">Numéros de séquence continus (EX-Q-02)</t>
  </si>
  <si>
    <t xml:space="preserve">Budget de temps du cycle respecté (EX-Q-01)</t>
  </si>
  <si>
    <t xml:space="preserve">Aucune commande émise (EX-F-08)</t>
  </si>
  <si>
    <t xml:space="preserve">Concept admissible ?</t>
  </si>
  <si>
    <t xml:space="preserve">Rang</t>
  </si>
  <si>
    <t xml:space="preserve">Décision : concept B retenu (rejeu complet du diagnostic), complété par le scellement périodique signé du concept C (séparation des rôles, ≈ 20 h de travail en plus).</t>
  </si>
  <si>
    <t xml:space="preserve">Résultat pondéré = niveau atteint × poids. Cellules bleues = valeurs saisies (modifiables) ; les totaux se recalculent.</t>
  </si>
  <si>
    <t xml:space="preserve">Niveaux B et C : repris de l'analyse quantitative SS-6. Niveaux A : évalués avec le même barème à partir des spécifications techniques du concept A (v0.1) — à valider en équipe.</t>
  </si>
  <si>
    <t xml:space="preserve">Priorité (1 à 3) : déduite du poids (≥ 10 → 1 ; 5 à 8 → 2 ; ≤ 4 → 3).</t>
  </si>
  <si>
    <t xml:space="preserve">Les niveaux sont estimés ; à confirmer par mesure, en particulier le surcoût par cycle.</t>
  </si>
  <si>
    <t xml:space="preserve">Résultat par fonctionnalité</t>
  </si>
  <si>
    <t xml:space="preserve">Fonctionnalité</t>
  </si>
  <si>
    <t xml:space="preserve">Concept B</t>
  </si>
  <si>
    <t xml:space="preserve">Concept A</t>
  </si>
  <si>
    <t xml:space="preserve">Concept C</t>
  </si>
  <si>
    <t xml:space="preserve">Meilleur</t>
  </si>
  <si>
    <t xml:space="preserve">Points sur 100. Liens vers la feuille « Étape 5 - Analyse ».</t>
  </si>
  <si>
    <t xml:space="preserve">Critères, pondérations et barèmes</t>
  </si>
  <si>
    <t xml:space="preserve">Critère</t>
  </si>
  <si>
    <t xml:space="preserve">Barème</t>
  </si>
  <si>
    <t xml:space="preserve">   Recalcul des décisions</t>
  </si>
  <si>
    <t xml:space="preserve">Toute la campagne 100 % ; fenêtre récente 75 % ; reconstitution seule 25 %</t>
  </si>
  <si>
    <t xml:space="preserve">   Profondeur du recalcul</t>
  </si>
  <si>
    <t xml:space="preserve">Campagne 100 % ; 7 jours 75 % ; 24 h 50 % ; moins 25 %</t>
  </si>
  <si>
    <t xml:space="preserve">   Indépendance de la vérification</t>
  </si>
  <si>
    <t xml:space="preserve">Totale 100 % ; sur une fenêtre 50 % ; aucune 0 %</t>
  </si>
  <si>
    <t xml:space="preserve">   Détection des altérations</t>
  </si>
  <si>
    <t xml:space="preserve">100 % détectées 100 % ; sinon rejet</t>
  </si>
  <si>
    <t xml:space="preserve">   Coût de vérification</t>
  </si>
  <si>
    <t xml:space="preserve">Borné 100 % ; &lt; 1 min mais croissant 75 % ; &lt; 10 min 50 %</t>
  </si>
  <si>
    <t xml:space="preserve">   Séparation des rôles</t>
  </si>
  <si>
    <t xml:space="preserve">Sceau signé par un autre rôle 100 % ; limite écrite 25 % ; sinon rejet</t>
  </si>
  <si>
    <t xml:space="preserve">   Surcoût par cycle</t>
  </si>
  <si>
    <t xml:space="preserve">≤ 1 % 100 % ; 3 % 75 % ; 5 % 50 % ; hors budget rejet</t>
  </si>
  <si>
    <t xml:space="preserve">   Volume sur 100 h</t>
  </si>
  <si>
    <t xml:space="preserve">≤ 1 Go 100 % ; 10 Go 75 % ; 50 Go 25 %</t>
  </si>
  <si>
    <t xml:space="preserve">   Effort de réalisation</t>
  </si>
  <si>
    <t xml:space="preserve">20 h 100 % ; 40 h 75 % ; 80 h 50 %</t>
  </si>
  <si>
    <t xml:space="preserve">   Numéro de séquence</t>
  </si>
  <si>
    <t xml:space="preserve">Continu 100 % ; trou possible rejet</t>
  </si>
  <si>
    <t xml:space="preserve">   Ordre garanti</t>
  </si>
  <si>
    <t xml:space="preserve">Aucune inversion 100 % ; inversions détectées 50 %</t>
  </si>
  <si>
    <t xml:space="preserve">   Double horodatage</t>
  </si>
  <si>
    <t xml:space="preserve">Temps simulé et UTC 100 % ; un seul 50 %</t>
  </si>
  <si>
    <t xml:space="preserve">   Complétude des acquisitions</t>
  </si>
  <si>
    <t xml:space="preserve">Entrée par entrée 100 % ; par compteurs de bloc 75 %</t>
  </si>
  <si>
    <t xml:space="preserve">   Complétude des décisions</t>
  </si>
  <si>
    <t xml:space="preserve">Avec l'affichage 100 % ; sans 50 % ; incomplète rejet</t>
  </si>
  <si>
    <t xml:space="preserve">   Simplicité de la vérification</t>
  </si>
  <si>
    <t xml:space="preserve">Un compte 100 % ; deux comptes 50 %</t>
  </si>
  <si>
    <t xml:space="preserve">Hypothèses de volume : cycle de 100 ms ; 40 valeurs × 8 o + 64 o d'en-tête = 384 o/entrée (B) ; ≈ 13,8 Mo/h ; 100 h ≈ 1,4 Go (B), 0,33 Go (C, 24 h). A : entrée bornée à 512 o → ≤ 18,4 Mo/h, ≤ 1,8 Go/100 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</si>
</sst>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%;\-0.0%;0%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7F6A5C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BF1DE"/>
        <bgColor rgb="FFDAEEF3"/>
      </patternFill>
    </fill>
    <fill>
      <patternFill patternType="solid">
        <fgColor rgb="FFDDD9C4"/>
        <bgColor rgb="FFD9D9D9"/>
      </patternFill>
    </fill>
    <fill>
      <patternFill patternType="solid">
        <fgColor rgb="FFDAEEF3"/>
        <bgColor rgb="FFEBF1DE"/>
      </patternFill>
    </fill>
    <fill>
      <patternFill patternType="solid">
        <fgColor rgb="FF17375E"/>
        <bgColor rgb="FF333333"/>
      </patternFill>
    </fill>
    <fill>
      <patternFill patternType="solid">
        <fgColor rgb="FFD9D9D9"/>
        <bgColor rgb="FFDDD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4"/>
      <rgbColor rgb="FF808080"/>
      <rgbColor rgb="FF9999FF"/>
      <rgbColor rgb="FF993366"/>
      <rgbColor rgb="FFEBF1DE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6A5C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.51"/>
    <col collapsed="false" customWidth="true" hidden="false" outlineLevel="0" max="6" min="6" style="0" width="11.5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.51"/>
    <col collapsed="false" customWidth="true" hidden="false" outlineLevel="0" max="10" min="10" style="0" width="11.5"/>
    <col collapsed="false" customWidth="true" hidden="false" outlineLevel="0" max="11" min="11" style="0" width="10"/>
    <col collapsed="false" customWidth="true" hidden="false" outlineLevel="0" max="12" min="12" style="0" width="42"/>
    <col collapsed="false" customWidth="true" hidden="false" outlineLevel="0" max="13" min="13" style="0" width="1.51"/>
    <col collapsed="false" customWidth="true" hidden="false" outlineLevel="0" max="14" min="14" style="0" width="11.5"/>
    <col collapsed="false" customWidth="true" hidden="false" outlineLevel="0" max="15" min="15" style="0" width="10"/>
    <col collapsed="false" customWidth="true" hidden="false" outlineLevel="0" max="16" min="16" style="0" width="42"/>
  </cols>
  <sheetData>
    <row r="1" customFormat="false" ht="24.4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5"/>
      <c r="F5" s="6" t="s">
        <v>4</v>
      </c>
      <c r="G5" s="6"/>
      <c r="H5" s="6"/>
      <c r="I5" s="5"/>
      <c r="J5" s="6" t="s">
        <v>5</v>
      </c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E6" s="5"/>
      <c r="F6" s="7" t="n">
        <f aca="false">G29</f>
        <v>0.8925</v>
      </c>
      <c r="I6" s="5"/>
      <c r="J6" s="7" t="n">
        <f aca="false">K29</f>
        <v>0.6925</v>
      </c>
      <c r="M6" s="5"/>
      <c r="N6" s="7" t="n">
        <f aca="false">O29</f>
        <v>0.825</v>
      </c>
    </row>
    <row r="7" customFormat="false" ht="15" hidden="false" customHeight="true" outlineLevel="0" collapsed="false">
      <c r="E7" s="5"/>
      <c r="F7" s="8" t="s">
        <v>6</v>
      </c>
      <c r="G7" s="8"/>
      <c r="H7" s="8"/>
      <c r="I7" s="5"/>
      <c r="J7" s="9" t="s">
        <v>7</v>
      </c>
      <c r="K7" s="9"/>
      <c r="L7" s="9"/>
      <c r="M7" s="5"/>
      <c r="N7" s="10" t="s">
        <v>8</v>
      </c>
      <c r="O7" s="10"/>
      <c r="P7" s="10"/>
    </row>
    <row r="8" customFormat="false" ht="30" hidden="false" customHeight="true" outlineLevel="0" collapsed="false">
      <c r="A8" s="11" t="s">
        <v>9</v>
      </c>
      <c r="B8" s="11" t="s">
        <v>10</v>
      </c>
      <c r="C8" s="11" t="s">
        <v>11</v>
      </c>
      <c r="D8" s="11" t="s">
        <v>12</v>
      </c>
      <c r="E8" s="5"/>
      <c r="F8" s="12" t="s">
        <v>13</v>
      </c>
      <c r="G8" s="12" t="s">
        <v>14</v>
      </c>
      <c r="H8" s="12" t="s">
        <v>15</v>
      </c>
      <c r="I8" s="5"/>
      <c r="J8" s="13" t="s">
        <v>13</v>
      </c>
      <c r="K8" s="13" t="s">
        <v>14</v>
      </c>
      <c r="L8" s="13" t="s">
        <v>15</v>
      </c>
      <c r="M8" s="5"/>
      <c r="N8" s="14" t="s">
        <v>13</v>
      </c>
      <c r="O8" s="14" t="s">
        <v>14</v>
      </c>
      <c r="P8" s="14" t="s">
        <v>15</v>
      </c>
    </row>
    <row r="9" customFormat="false" ht="18" hidden="false" customHeight="true" outlineLevel="0" collapsed="false">
      <c r="A9" s="15"/>
      <c r="B9" s="15" t="n">
        <v>1</v>
      </c>
      <c r="C9" s="16" t="s">
        <v>16</v>
      </c>
      <c r="D9" s="17" t="n">
        <f aca="false">SUM(D10:D12)</f>
        <v>0.25</v>
      </c>
      <c r="E9" s="5"/>
      <c r="F9" s="17" t="n">
        <f aca="false">IF(D9=0,0,G9/D9)</f>
        <v>1</v>
      </c>
      <c r="G9" s="17" t="n">
        <f aca="false">SUM(G10:G12)</f>
        <v>0.25</v>
      </c>
      <c r="H9" s="16"/>
      <c r="I9" s="5"/>
      <c r="J9" s="17" t="n">
        <f aca="false">IF(D9=0,0,K9/D9)</f>
        <v>0.2</v>
      </c>
      <c r="K9" s="17" t="n">
        <f aca="false">SUM(K10:K12)</f>
        <v>0.05</v>
      </c>
      <c r="L9" s="16"/>
      <c r="M9" s="5"/>
      <c r="N9" s="17" t="n">
        <f aca="false">IF(D9=0,0,O9/D9)</f>
        <v>0.62</v>
      </c>
      <c r="O9" s="17" t="n">
        <f aca="false">SUM(O10:O12)</f>
        <v>0.155</v>
      </c>
      <c r="P9" s="16"/>
    </row>
    <row r="10" customFormat="false" ht="30" hidden="false" customHeight="true" outlineLevel="0" collapsed="false">
      <c r="A10" s="18" t="n">
        <v>1</v>
      </c>
      <c r="B10" s="18" t="n">
        <v>1</v>
      </c>
      <c r="C10" s="19" t="s">
        <v>17</v>
      </c>
      <c r="D10" s="20" t="n">
        <v>0.12</v>
      </c>
      <c r="E10" s="5"/>
      <c r="F10" s="21" t="n">
        <v>1</v>
      </c>
      <c r="G10" s="22" t="n">
        <f aca="false">F10*$D10</f>
        <v>0.12</v>
      </c>
      <c r="H10" s="23" t="s">
        <v>18</v>
      </c>
      <c r="I10" s="5"/>
      <c r="J10" s="24" t="n">
        <v>0.25</v>
      </c>
      <c r="K10" s="25" t="n">
        <f aca="false">J10*$D10</f>
        <v>0.03</v>
      </c>
      <c r="L10" s="26" t="s">
        <v>19</v>
      </c>
      <c r="M10" s="5"/>
      <c r="N10" s="27" t="n">
        <v>0.75</v>
      </c>
      <c r="O10" s="28" t="n">
        <f aca="false">N10*$D10</f>
        <v>0.09</v>
      </c>
      <c r="P10" s="29" t="s">
        <v>20</v>
      </c>
    </row>
    <row r="11" customFormat="false" ht="30" hidden="false" customHeight="true" outlineLevel="0" collapsed="false">
      <c r="A11" s="18" t="n">
        <v>2</v>
      </c>
      <c r="B11" s="18" t="n">
        <v>2</v>
      </c>
      <c r="C11" s="19" t="s">
        <v>21</v>
      </c>
      <c r="D11" s="20" t="n">
        <v>0.08</v>
      </c>
      <c r="E11" s="5"/>
      <c r="F11" s="21" t="n">
        <v>1</v>
      </c>
      <c r="G11" s="22" t="n">
        <f aca="false">F11*$D11</f>
        <v>0.08</v>
      </c>
      <c r="H11" s="23" t="s">
        <v>22</v>
      </c>
      <c r="I11" s="5"/>
      <c r="J11" s="24" t="n">
        <v>0.25</v>
      </c>
      <c r="K11" s="25" t="n">
        <f aca="false">J11*$D11</f>
        <v>0.02</v>
      </c>
      <c r="L11" s="26" t="s">
        <v>23</v>
      </c>
      <c r="M11" s="5"/>
      <c r="N11" s="27" t="n">
        <v>0.5</v>
      </c>
      <c r="O11" s="28" t="n">
        <f aca="false">N11*$D11</f>
        <v>0.04</v>
      </c>
      <c r="P11" s="29" t="s">
        <v>24</v>
      </c>
    </row>
    <row r="12" customFormat="false" ht="30" hidden="false" customHeight="true" outlineLevel="0" collapsed="false">
      <c r="A12" s="18" t="n">
        <v>2</v>
      </c>
      <c r="B12" s="18" t="n">
        <v>3</v>
      </c>
      <c r="C12" s="19" t="s">
        <v>25</v>
      </c>
      <c r="D12" s="20" t="n">
        <v>0.05</v>
      </c>
      <c r="E12" s="5"/>
      <c r="F12" s="21" t="n">
        <v>1</v>
      </c>
      <c r="G12" s="22" t="n">
        <f aca="false">F12*$D12</f>
        <v>0.05</v>
      </c>
      <c r="H12" s="23" t="s">
        <v>26</v>
      </c>
      <c r="I12" s="5"/>
      <c r="J12" s="24" t="n">
        <v>0</v>
      </c>
      <c r="K12" s="25" t="n">
        <f aca="false">J12*$D12</f>
        <v>0</v>
      </c>
      <c r="L12" s="26" t="s">
        <v>27</v>
      </c>
      <c r="M12" s="5"/>
      <c r="N12" s="27" t="n">
        <v>0.5</v>
      </c>
      <c r="O12" s="28" t="n">
        <f aca="false">N12*$D12</f>
        <v>0.025</v>
      </c>
      <c r="P12" s="29" t="s">
        <v>28</v>
      </c>
    </row>
    <row r="13" customFormat="false" ht="18" hidden="false" customHeight="true" outlineLevel="0" collapsed="false">
      <c r="A13" s="15"/>
      <c r="B13" s="15" t="n">
        <v>2</v>
      </c>
      <c r="C13" s="16" t="s">
        <v>29</v>
      </c>
      <c r="D13" s="17" t="n">
        <f aca="false">SUM(D14:D16)</f>
        <v>0.25</v>
      </c>
      <c r="E13" s="5"/>
      <c r="F13" s="17" t="n">
        <f aca="false">IF(D13=0,0,G13/D13)</f>
        <v>0.77</v>
      </c>
      <c r="G13" s="17" t="n">
        <f aca="false">SUM(G14:G16)</f>
        <v>0.1925</v>
      </c>
      <c r="H13" s="16"/>
      <c r="I13" s="5"/>
      <c r="J13" s="17" t="n">
        <f aca="false">IF(D13=0,0,K13/D13)</f>
        <v>0.77</v>
      </c>
      <c r="K13" s="17" t="n">
        <f aca="false">SUM(K14:K16)</f>
        <v>0.1925</v>
      </c>
      <c r="L13" s="16"/>
      <c r="M13" s="5"/>
      <c r="N13" s="17" t="n">
        <f aca="false">IF(D13=0,0,O13/D13)</f>
        <v>1</v>
      </c>
      <c r="O13" s="17" t="n">
        <f aca="false">SUM(O14:O16)</f>
        <v>0.25</v>
      </c>
      <c r="P13" s="16"/>
    </row>
    <row r="14" customFormat="false" ht="30" hidden="false" customHeight="true" outlineLevel="0" collapsed="false">
      <c r="A14" s="18" t="n">
        <v>1</v>
      </c>
      <c r="B14" s="18" t="n">
        <v>4</v>
      </c>
      <c r="C14" s="19" t="s">
        <v>30</v>
      </c>
      <c r="D14" s="20" t="n">
        <v>0.12</v>
      </c>
      <c r="E14" s="5"/>
      <c r="F14" s="21" t="n">
        <v>1</v>
      </c>
      <c r="G14" s="22" t="n">
        <f aca="false">F14*$D14</f>
        <v>0.12</v>
      </c>
      <c r="H14" s="23" t="s">
        <v>31</v>
      </c>
      <c r="I14" s="5"/>
      <c r="J14" s="24" t="n">
        <v>1</v>
      </c>
      <c r="K14" s="25" t="n">
        <f aca="false">J14*$D14</f>
        <v>0.12</v>
      </c>
      <c r="L14" s="26" t="s">
        <v>32</v>
      </c>
      <c r="M14" s="5"/>
      <c r="N14" s="27" t="n">
        <v>1</v>
      </c>
      <c r="O14" s="28" t="n">
        <f aca="false">N14*$D14</f>
        <v>0.12</v>
      </c>
      <c r="P14" s="29" t="s">
        <v>33</v>
      </c>
    </row>
    <row r="15" customFormat="false" ht="30" hidden="false" customHeight="true" outlineLevel="0" collapsed="false">
      <c r="A15" s="18" t="n">
        <v>2</v>
      </c>
      <c r="B15" s="18" t="n">
        <v>5</v>
      </c>
      <c r="C15" s="19" t="s">
        <v>34</v>
      </c>
      <c r="D15" s="20" t="n">
        <v>0.08</v>
      </c>
      <c r="E15" s="5"/>
      <c r="F15" s="21" t="n">
        <v>0.75</v>
      </c>
      <c r="G15" s="22" t="n">
        <f aca="false">F15*$D15</f>
        <v>0.06</v>
      </c>
      <c r="H15" s="23" t="s">
        <v>35</v>
      </c>
      <c r="I15" s="5"/>
      <c r="J15" s="24" t="n">
        <v>0.75</v>
      </c>
      <c r="K15" s="25" t="n">
        <f aca="false">J15*$D15</f>
        <v>0.06</v>
      </c>
      <c r="L15" s="26" t="s">
        <v>36</v>
      </c>
      <c r="M15" s="5"/>
      <c r="N15" s="27" t="n">
        <v>1</v>
      </c>
      <c r="O15" s="28" t="n">
        <f aca="false">N15*$D15</f>
        <v>0.08</v>
      </c>
      <c r="P15" s="29" t="s">
        <v>37</v>
      </c>
    </row>
    <row r="16" customFormat="false" ht="30" hidden="false" customHeight="true" outlineLevel="0" collapsed="false">
      <c r="A16" s="18" t="n">
        <v>2</v>
      </c>
      <c r="B16" s="18" t="n">
        <v>6</v>
      </c>
      <c r="C16" s="19" t="s">
        <v>38</v>
      </c>
      <c r="D16" s="20" t="n">
        <v>0.05</v>
      </c>
      <c r="E16" s="5"/>
      <c r="F16" s="21" t="n">
        <v>0.25</v>
      </c>
      <c r="G16" s="22" t="n">
        <f aca="false">F16*$D16</f>
        <v>0.0125</v>
      </c>
      <c r="H16" s="23" t="s">
        <v>39</v>
      </c>
      <c r="I16" s="5"/>
      <c r="J16" s="24" t="n">
        <v>0.25</v>
      </c>
      <c r="K16" s="25" t="n">
        <f aca="false">J16*$D16</f>
        <v>0.0125</v>
      </c>
      <c r="L16" s="26" t="s">
        <v>40</v>
      </c>
      <c r="M16" s="5"/>
      <c r="N16" s="27" t="n">
        <v>1</v>
      </c>
      <c r="O16" s="28" t="n">
        <f aca="false">N16*$D16</f>
        <v>0.05</v>
      </c>
      <c r="P16" s="29" t="s">
        <v>41</v>
      </c>
    </row>
    <row r="17" customFormat="false" ht="18" hidden="false" customHeight="true" outlineLevel="0" collapsed="false">
      <c r="A17" s="15"/>
      <c r="B17" s="15" t="n">
        <v>3</v>
      </c>
      <c r="C17" s="16" t="s">
        <v>42</v>
      </c>
      <c r="D17" s="17" t="n">
        <f aca="false">SUM(D18:D20)</f>
        <v>0.2</v>
      </c>
      <c r="E17" s="5"/>
      <c r="F17" s="17" t="n">
        <f aca="false">IF(D17=0,0,G17/D17)</f>
        <v>0.75</v>
      </c>
      <c r="G17" s="17" t="n">
        <f aca="false">SUM(G18:G20)</f>
        <v>0.15</v>
      </c>
      <c r="H17" s="16"/>
      <c r="I17" s="5"/>
      <c r="J17" s="17" t="n">
        <f aca="false">IF(D17=0,0,K17/D17)</f>
        <v>0.75</v>
      </c>
      <c r="K17" s="17" t="n">
        <f aca="false">SUM(K18:K20)</f>
        <v>0.15</v>
      </c>
      <c r="L17" s="16"/>
      <c r="M17" s="5"/>
      <c r="N17" s="17" t="n">
        <f aca="false">IF(D17=0,0,O17/D17)</f>
        <v>0.775</v>
      </c>
      <c r="O17" s="17" t="n">
        <f aca="false">SUM(O18:O20)</f>
        <v>0.155</v>
      </c>
      <c r="P17" s="16"/>
    </row>
    <row r="18" customFormat="false" ht="30" hidden="false" customHeight="true" outlineLevel="0" collapsed="false">
      <c r="A18" s="18" t="n">
        <v>1</v>
      </c>
      <c r="B18" s="18" t="n">
        <v>7</v>
      </c>
      <c r="C18" s="19" t="s">
        <v>43</v>
      </c>
      <c r="D18" s="20" t="n">
        <v>0.1</v>
      </c>
      <c r="E18" s="5"/>
      <c r="F18" s="21" t="n">
        <v>0.75</v>
      </c>
      <c r="G18" s="22" t="n">
        <f aca="false">F18*$D18</f>
        <v>0.075</v>
      </c>
      <c r="H18" s="23" t="s">
        <v>44</v>
      </c>
      <c r="I18" s="5"/>
      <c r="J18" s="24" t="n">
        <v>0.75</v>
      </c>
      <c r="K18" s="25" t="n">
        <f aca="false">J18*$D18</f>
        <v>0.075</v>
      </c>
      <c r="L18" s="26" t="s">
        <v>45</v>
      </c>
      <c r="M18" s="5"/>
      <c r="N18" s="27" t="n">
        <v>0.75</v>
      </c>
      <c r="O18" s="28" t="n">
        <f aca="false">N18*$D18</f>
        <v>0.075</v>
      </c>
      <c r="P18" s="29" t="s">
        <v>44</v>
      </c>
    </row>
    <row r="19" customFormat="false" ht="30" hidden="false" customHeight="true" outlineLevel="0" collapsed="false">
      <c r="A19" s="18" t="n">
        <v>2</v>
      </c>
      <c r="B19" s="18" t="n">
        <v>8</v>
      </c>
      <c r="C19" s="19" t="s">
        <v>46</v>
      </c>
      <c r="D19" s="20" t="n">
        <v>0.06</v>
      </c>
      <c r="E19" s="5"/>
      <c r="F19" s="21" t="n">
        <v>0.75</v>
      </c>
      <c r="G19" s="22" t="n">
        <f aca="false">F19*$D19</f>
        <v>0.045</v>
      </c>
      <c r="H19" s="23" t="s">
        <v>47</v>
      </c>
      <c r="I19" s="5"/>
      <c r="J19" s="24" t="n">
        <v>0.75</v>
      </c>
      <c r="K19" s="25" t="n">
        <f aca="false">J19*$D19</f>
        <v>0.045</v>
      </c>
      <c r="L19" s="26" t="s">
        <v>48</v>
      </c>
      <c r="M19" s="5"/>
      <c r="N19" s="27" t="n">
        <v>1</v>
      </c>
      <c r="O19" s="28" t="n">
        <f aca="false">N19*$D19</f>
        <v>0.06</v>
      </c>
      <c r="P19" s="29" t="s">
        <v>49</v>
      </c>
    </row>
    <row r="20" customFormat="false" ht="30" hidden="false" customHeight="true" outlineLevel="0" collapsed="false">
      <c r="A20" s="18" t="n">
        <v>3</v>
      </c>
      <c r="B20" s="18" t="n">
        <v>9</v>
      </c>
      <c r="C20" s="19" t="s">
        <v>50</v>
      </c>
      <c r="D20" s="20" t="n">
        <v>0.04</v>
      </c>
      <c r="E20" s="5"/>
      <c r="F20" s="21" t="n">
        <v>0.75</v>
      </c>
      <c r="G20" s="22" t="n">
        <f aca="false">F20*$D20</f>
        <v>0.03</v>
      </c>
      <c r="H20" s="23" t="s">
        <v>51</v>
      </c>
      <c r="I20" s="5"/>
      <c r="J20" s="24" t="n">
        <v>0.75</v>
      </c>
      <c r="K20" s="25" t="n">
        <f aca="false">J20*$D20</f>
        <v>0.03</v>
      </c>
      <c r="L20" s="26" t="s">
        <v>52</v>
      </c>
      <c r="M20" s="5"/>
      <c r="N20" s="27" t="n">
        <v>0.5</v>
      </c>
      <c r="O20" s="28" t="n">
        <f aca="false">N20*$D20</f>
        <v>0.02</v>
      </c>
      <c r="P20" s="29" t="s">
        <v>53</v>
      </c>
    </row>
    <row r="21" customFormat="false" ht="18" hidden="false" customHeight="true" outlineLevel="0" collapsed="false">
      <c r="A21" s="15"/>
      <c r="B21" s="15" t="n">
        <v>4</v>
      </c>
      <c r="C21" s="16" t="s">
        <v>54</v>
      </c>
      <c r="D21" s="17" t="n">
        <f aca="false">SUM(D22:D24)</f>
        <v>0.15</v>
      </c>
      <c r="E21" s="5"/>
      <c r="F21" s="17" t="n">
        <f aca="false">IF(D21=0,0,G21/D21)</f>
        <v>1</v>
      </c>
      <c r="G21" s="17" t="n">
        <f aca="false">SUM(G22:G24)</f>
        <v>0.15</v>
      </c>
      <c r="H21" s="16"/>
      <c r="I21" s="5"/>
      <c r="J21" s="17" t="n">
        <f aca="false">IF(D21=0,0,K21/D21)</f>
        <v>1</v>
      </c>
      <c r="K21" s="17" t="n">
        <f aca="false">SUM(K22:K24)</f>
        <v>0.15</v>
      </c>
      <c r="L21" s="16"/>
      <c r="M21" s="5"/>
      <c r="N21" s="17" t="n">
        <f aca="false">IF(D21=0,0,O21/D21)</f>
        <v>1</v>
      </c>
      <c r="O21" s="17" t="n">
        <f aca="false">SUM(O22:O24)</f>
        <v>0.15</v>
      </c>
      <c r="P21" s="16"/>
    </row>
    <row r="22" customFormat="false" ht="30" hidden="false" customHeight="true" outlineLevel="0" collapsed="false">
      <c r="A22" s="18" t="n">
        <v>2</v>
      </c>
      <c r="B22" s="18" t="n">
        <v>10</v>
      </c>
      <c r="C22" s="19" t="s">
        <v>55</v>
      </c>
      <c r="D22" s="20" t="n">
        <v>0.06</v>
      </c>
      <c r="E22" s="5"/>
      <c r="F22" s="21" t="n">
        <v>1</v>
      </c>
      <c r="G22" s="22" t="n">
        <f aca="false">F22*$D22</f>
        <v>0.06</v>
      </c>
      <c r="H22" s="23" t="s">
        <v>56</v>
      </c>
      <c r="I22" s="5"/>
      <c r="J22" s="24" t="n">
        <v>1</v>
      </c>
      <c r="K22" s="25" t="n">
        <f aca="false">J22*$D22</f>
        <v>0.06</v>
      </c>
      <c r="L22" s="26" t="s">
        <v>57</v>
      </c>
      <c r="M22" s="5"/>
      <c r="N22" s="27" t="n">
        <v>1</v>
      </c>
      <c r="O22" s="28" t="n">
        <f aca="false">N22*$D22</f>
        <v>0.06</v>
      </c>
      <c r="P22" s="29" t="s">
        <v>56</v>
      </c>
    </row>
    <row r="23" customFormat="false" ht="30" hidden="false" customHeight="true" outlineLevel="0" collapsed="false">
      <c r="A23" s="18" t="n">
        <v>2</v>
      </c>
      <c r="B23" s="18" t="n">
        <v>11</v>
      </c>
      <c r="C23" s="19" t="s">
        <v>58</v>
      </c>
      <c r="D23" s="20" t="n">
        <v>0.05</v>
      </c>
      <c r="E23" s="5"/>
      <c r="F23" s="21" t="n">
        <v>1</v>
      </c>
      <c r="G23" s="22" t="n">
        <f aca="false">F23*$D23</f>
        <v>0.05</v>
      </c>
      <c r="H23" s="23" t="s">
        <v>59</v>
      </c>
      <c r="I23" s="5"/>
      <c r="J23" s="24" t="n">
        <v>1</v>
      </c>
      <c r="K23" s="25" t="n">
        <f aca="false">J23*$D23</f>
        <v>0.05</v>
      </c>
      <c r="L23" s="26" t="s">
        <v>60</v>
      </c>
      <c r="M23" s="5"/>
      <c r="N23" s="27" t="n">
        <v>1</v>
      </c>
      <c r="O23" s="28" t="n">
        <f aca="false">N23*$D23</f>
        <v>0.05</v>
      </c>
      <c r="P23" s="29" t="s">
        <v>59</v>
      </c>
    </row>
    <row r="24" customFormat="false" ht="30" hidden="false" customHeight="true" outlineLevel="0" collapsed="false">
      <c r="A24" s="18" t="n">
        <v>3</v>
      </c>
      <c r="B24" s="18" t="n">
        <v>12</v>
      </c>
      <c r="C24" s="19" t="s">
        <v>61</v>
      </c>
      <c r="D24" s="20" t="n">
        <v>0.04</v>
      </c>
      <c r="E24" s="5"/>
      <c r="F24" s="21" t="n">
        <v>1</v>
      </c>
      <c r="G24" s="22" t="n">
        <f aca="false">F24*$D24</f>
        <v>0.04</v>
      </c>
      <c r="H24" s="23" t="s">
        <v>62</v>
      </c>
      <c r="I24" s="5"/>
      <c r="J24" s="24" t="n">
        <v>1</v>
      </c>
      <c r="K24" s="25" t="n">
        <f aca="false">J24*$D24</f>
        <v>0.04</v>
      </c>
      <c r="L24" s="26" t="s">
        <v>63</v>
      </c>
      <c r="M24" s="5"/>
      <c r="N24" s="27" t="n">
        <v>1</v>
      </c>
      <c r="O24" s="28" t="n">
        <f aca="false">N24*$D24</f>
        <v>0.04</v>
      </c>
      <c r="P24" s="29" t="s">
        <v>62</v>
      </c>
    </row>
    <row r="25" customFormat="false" ht="18" hidden="false" customHeight="true" outlineLevel="0" collapsed="false">
      <c r="A25" s="15"/>
      <c r="B25" s="15" t="n">
        <v>5</v>
      </c>
      <c r="C25" s="16" t="s">
        <v>64</v>
      </c>
      <c r="D25" s="17" t="n">
        <f aca="false">SUM(D26:D28)</f>
        <v>0.15</v>
      </c>
      <c r="E25" s="5"/>
      <c r="F25" s="17" t="n">
        <f aca="false">IF(D25=0,0,G25/D25)</f>
        <v>1</v>
      </c>
      <c r="G25" s="17" t="n">
        <f aca="false">SUM(G26:G28)</f>
        <v>0.15</v>
      </c>
      <c r="H25" s="16"/>
      <c r="I25" s="5"/>
      <c r="J25" s="17" t="n">
        <f aca="false">IF(D25=0,0,K25/D25)</f>
        <v>1</v>
      </c>
      <c r="K25" s="17" t="n">
        <f aca="false">SUM(K26:K28)</f>
        <v>0.15</v>
      </c>
      <c r="L25" s="16"/>
      <c r="M25" s="5"/>
      <c r="N25" s="17" t="n">
        <f aca="false">IF(D25=0,0,O25/D25)</f>
        <v>0.766666666666667</v>
      </c>
      <c r="O25" s="17" t="n">
        <f aca="false">SUM(O26:O28)</f>
        <v>0.115</v>
      </c>
      <c r="P25" s="16"/>
    </row>
    <row r="26" customFormat="false" ht="30" hidden="false" customHeight="true" outlineLevel="0" collapsed="false">
      <c r="A26" s="18" t="n">
        <v>2</v>
      </c>
      <c r="B26" s="18" t="n">
        <v>13</v>
      </c>
      <c r="C26" s="19" t="s">
        <v>65</v>
      </c>
      <c r="D26" s="20" t="n">
        <v>0.08</v>
      </c>
      <c r="E26" s="5"/>
      <c r="F26" s="21" t="n">
        <v>1</v>
      </c>
      <c r="G26" s="22" t="n">
        <f aca="false">F26*$D26</f>
        <v>0.08</v>
      </c>
      <c r="H26" s="23" t="s">
        <v>66</v>
      </c>
      <c r="I26" s="5"/>
      <c r="J26" s="24" t="n">
        <v>1</v>
      </c>
      <c r="K26" s="25" t="n">
        <f aca="false">J26*$D26</f>
        <v>0.08</v>
      </c>
      <c r="L26" s="26" t="s">
        <v>67</v>
      </c>
      <c r="M26" s="5"/>
      <c r="N26" s="27" t="n">
        <v>0.75</v>
      </c>
      <c r="O26" s="28" t="n">
        <f aca="false">N26*$D26</f>
        <v>0.06</v>
      </c>
      <c r="P26" s="29" t="s">
        <v>68</v>
      </c>
    </row>
    <row r="27" customFormat="false" ht="30" hidden="false" customHeight="true" outlineLevel="0" collapsed="false">
      <c r="A27" s="18" t="n">
        <v>3</v>
      </c>
      <c r="B27" s="18" t="n">
        <v>14</v>
      </c>
      <c r="C27" s="19" t="s">
        <v>69</v>
      </c>
      <c r="D27" s="20" t="n">
        <v>0.04</v>
      </c>
      <c r="E27" s="5"/>
      <c r="F27" s="21" t="n">
        <v>1</v>
      </c>
      <c r="G27" s="22" t="n">
        <f aca="false">F27*$D27</f>
        <v>0.04</v>
      </c>
      <c r="H27" s="23" t="s">
        <v>70</v>
      </c>
      <c r="I27" s="5"/>
      <c r="J27" s="24" t="n">
        <v>1</v>
      </c>
      <c r="K27" s="25" t="n">
        <f aca="false">J27*$D27</f>
        <v>0.04</v>
      </c>
      <c r="L27" s="26" t="s">
        <v>71</v>
      </c>
      <c r="M27" s="5"/>
      <c r="N27" s="27" t="n">
        <v>1</v>
      </c>
      <c r="O27" s="28" t="n">
        <f aca="false">N27*$D27</f>
        <v>0.04</v>
      </c>
      <c r="P27" s="29" t="s">
        <v>70</v>
      </c>
    </row>
    <row r="28" customFormat="false" ht="30" hidden="false" customHeight="true" outlineLevel="0" collapsed="false">
      <c r="A28" s="18" t="n">
        <v>3</v>
      </c>
      <c r="B28" s="18" t="n">
        <v>15</v>
      </c>
      <c r="C28" s="19" t="s">
        <v>72</v>
      </c>
      <c r="D28" s="20" t="n">
        <v>0.03</v>
      </c>
      <c r="E28" s="5"/>
      <c r="F28" s="21" t="n">
        <v>1</v>
      </c>
      <c r="G28" s="22" t="n">
        <f aca="false">F28*$D28</f>
        <v>0.03</v>
      </c>
      <c r="H28" s="23" t="s">
        <v>73</v>
      </c>
      <c r="I28" s="5"/>
      <c r="J28" s="24" t="n">
        <v>1</v>
      </c>
      <c r="K28" s="25" t="n">
        <f aca="false">J28*$D28</f>
        <v>0.03</v>
      </c>
      <c r="L28" s="26" t="s">
        <v>74</v>
      </c>
      <c r="M28" s="5"/>
      <c r="N28" s="27" t="n">
        <v>0.5</v>
      </c>
      <c r="O28" s="28" t="n">
        <f aca="false">N28*$D28</f>
        <v>0.015</v>
      </c>
      <c r="P28" s="29" t="s">
        <v>75</v>
      </c>
    </row>
    <row r="29" customFormat="false" ht="18" hidden="false" customHeight="true" outlineLevel="0" collapsed="false">
      <c r="A29" s="18"/>
      <c r="B29" s="18"/>
      <c r="C29" s="16" t="s">
        <v>76</v>
      </c>
      <c r="D29" s="17" t="n">
        <f aca="false">D9+D13+D17+D21+D25</f>
        <v>1</v>
      </c>
      <c r="E29" s="5"/>
      <c r="F29" s="30"/>
      <c r="G29" s="31" t="n">
        <f aca="false">G9+G13+G17+G21+G25</f>
        <v>0.8925</v>
      </c>
      <c r="H29" s="19"/>
      <c r="I29" s="5"/>
      <c r="J29" s="30"/>
      <c r="K29" s="32" t="n">
        <f aca="false">K9+K13+K17+K21+K25</f>
        <v>0.6925</v>
      </c>
      <c r="L29" s="19"/>
      <c r="M29" s="5"/>
      <c r="N29" s="30"/>
      <c r="O29" s="33" t="n">
        <f aca="false">O9+O13+O17+O21+O25</f>
        <v>0.825</v>
      </c>
      <c r="P29" s="19"/>
    </row>
    <row r="31" customFormat="false" ht="15" hidden="false" customHeight="false" outlineLevel="0" collapsed="false">
      <c r="C31" s="34" t="s">
        <v>77</v>
      </c>
    </row>
    <row r="32" customFormat="false" ht="28.35" hidden="false" customHeight="false" outlineLevel="0" collapsed="false">
      <c r="C32" s="35" t="s">
        <v>78</v>
      </c>
      <c r="F32" s="36" t="s">
        <v>79</v>
      </c>
      <c r="J32" s="37" t="s">
        <v>79</v>
      </c>
      <c r="N32" s="38" t="s">
        <v>79</v>
      </c>
    </row>
    <row r="33" customFormat="false" ht="28.35" hidden="false" customHeight="false" outlineLevel="0" collapsed="false">
      <c r="C33" s="35" t="s">
        <v>80</v>
      </c>
      <c r="F33" s="36" t="s">
        <v>79</v>
      </c>
      <c r="J33" s="37" t="s">
        <v>79</v>
      </c>
      <c r="N33" s="38" t="s">
        <v>79</v>
      </c>
    </row>
    <row r="34" customFormat="false" ht="28.35" hidden="false" customHeight="false" outlineLevel="0" collapsed="false">
      <c r="C34" s="35" t="s">
        <v>81</v>
      </c>
      <c r="F34" s="36" t="s">
        <v>79</v>
      </c>
      <c r="J34" s="37" t="s">
        <v>79</v>
      </c>
      <c r="N34" s="38" t="s">
        <v>79</v>
      </c>
    </row>
    <row r="35" customFormat="false" ht="28.35" hidden="false" customHeight="false" outlineLevel="0" collapsed="false">
      <c r="C35" s="35" t="s">
        <v>82</v>
      </c>
      <c r="F35" s="36" t="s">
        <v>79</v>
      </c>
      <c r="J35" s="37" t="s">
        <v>79</v>
      </c>
      <c r="N35" s="38" t="s">
        <v>79</v>
      </c>
    </row>
    <row r="36" customFormat="false" ht="26.85" hidden="false" customHeight="false" outlineLevel="0" collapsed="false">
      <c r="C36" s="34" t="s">
        <v>83</v>
      </c>
      <c r="F36" s="39" t="str">
        <f aca="false">IF(COUNTIF(F32:F35,"Oui")=4,"Admissible","REJETÉ")</f>
        <v>Admissible</v>
      </c>
      <c r="J36" s="39" t="str">
        <f aca="false">IF(COUNTIF(J32:J35,"Oui")=4,"Admissible","REJETÉ")</f>
        <v>Admissible</v>
      </c>
      <c r="N36" s="39" t="str">
        <f aca="false">IF(COUNTIF(N32:N35,"Oui")=4,"Admissible","REJETÉ")</f>
        <v>Admissible</v>
      </c>
    </row>
    <row r="37" customFormat="false" ht="15" hidden="false" customHeight="false" outlineLevel="0" collapsed="false">
      <c r="C37" s="34" t="s">
        <v>84</v>
      </c>
      <c r="F37" s="39" t="n">
        <f aca="false">RANK(G29,($G$29~$K$29~$O$29))</f>
        <v>1</v>
      </c>
      <c r="J37" s="39" t="n">
        <f aca="false">RANK(K29,($G$29~$K$29~$O$29))</f>
        <v>3</v>
      </c>
      <c r="N37" s="39" t="n">
        <f aca="false">RANK(O29,($G$29~$K$29~$O$29))</f>
        <v>2</v>
      </c>
    </row>
    <row r="39" customFormat="false" ht="18" hidden="false" customHeight="true" outlineLevel="0" collapsed="false">
      <c r="A39" s="40" t="s">
        <v>85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</row>
    <row r="40" customFormat="false" ht="18" hidden="false" customHeight="true" outlineLevel="0" collapsed="false">
      <c r="A40" s="40" t="s">
        <v>86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</row>
    <row r="41" customFormat="false" ht="18" hidden="false" customHeight="true" outlineLevel="0" collapsed="false">
      <c r="A41" s="40" t="s">
        <v>87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customFormat="false" ht="18" hidden="false" customHeight="true" outlineLevel="0" collapsed="false">
      <c r="A42" s="40" t="s">
        <v>88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customFormat="false" ht="18" hidden="false" customHeight="true" outlineLevel="0" collapsed="false">
      <c r="A43" s="40" t="s">
        <v>89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</sheetData>
  <mergeCells count="11">
    <mergeCell ref="A5:D5"/>
    <mergeCell ref="F5:H5"/>
    <mergeCell ref="J5:P5"/>
    <mergeCell ref="F7:H7"/>
    <mergeCell ref="J7:L7"/>
    <mergeCell ref="N7:P7"/>
    <mergeCell ref="A39:P39"/>
    <mergeCell ref="A40:P40"/>
    <mergeCell ref="A41:P41"/>
    <mergeCell ref="A42:P42"/>
    <mergeCell ref="A43:P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5" min="3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2" t="s">
        <v>90</v>
      </c>
    </row>
    <row r="3" customFormat="false" ht="15" hidden="false" customHeight="false" outlineLevel="0" collapsed="false">
      <c r="A3" s="41" t="s">
        <v>91</v>
      </c>
      <c r="B3" s="41" t="s">
        <v>12</v>
      </c>
      <c r="C3" s="41" t="s">
        <v>92</v>
      </c>
      <c r="D3" s="41" t="s">
        <v>93</v>
      </c>
      <c r="E3" s="41" t="s">
        <v>94</v>
      </c>
      <c r="F3" s="41" t="s">
        <v>95</v>
      </c>
    </row>
    <row r="4" customFormat="false" ht="15" hidden="false" customHeight="false" outlineLevel="0" collapsed="false">
      <c r="A4" s="42" t="str">
        <f aca="false">'Étape 5 - Analyse'!C9</f>
        <v>F1. Refaire le diagnostic</v>
      </c>
      <c r="B4" s="43" t="n">
        <f aca="false">'Étape 5 - Analyse'!D9*100</f>
        <v>25</v>
      </c>
      <c r="C4" s="43" t="n">
        <f aca="false">'Étape 5 - Analyse'!G9*100</f>
        <v>25</v>
      </c>
      <c r="D4" s="43" t="n">
        <f aca="false">'Étape 5 - Analyse'!K9*100</f>
        <v>5</v>
      </c>
      <c r="E4" s="43" t="n">
        <f aca="false">'Étape 5 - Analyse'!O9*100</f>
        <v>15.5</v>
      </c>
      <c r="F4" s="44" t="str">
        <f aca="false">IF(COUNTIF(C4:E4,MAX(C4:E4))&gt;1,"Égalité",INDEX($C$3:$E$3,MATCH(MAX(C4:E4),C4:E4,0)))</f>
        <v>Concept B</v>
      </c>
    </row>
    <row r="5" customFormat="false" ht="15" hidden="false" customHeight="false" outlineLevel="0" collapsed="false">
      <c r="A5" s="42" t="str">
        <f aca="false">'Étape 5 - Analyse'!C13</f>
        <v>F2. Prouver l'intégrité</v>
      </c>
      <c r="B5" s="43" t="n">
        <f aca="false">'Étape 5 - Analyse'!D13*100</f>
        <v>25</v>
      </c>
      <c r="C5" s="43" t="n">
        <f aca="false">'Étape 5 - Analyse'!G13*100</f>
        <v>19.25</v>
      </c>
      <c r="D5" s="43" t="n">
        <f aca="false">'Étape 5 - Analyse'!K13*100</f>
        <v>19.25</v>
      </c>
      <c r="E5" s="43" t="n">
        <f aca="false">'Étape 5 - Analyse'!O13*100</f>
        <v>25</v>
      </c>
      <c r="F5" s="44" t="str">
        <f aca="false">IF(COUNTIF(C5:E5,MAX(C5:E5))&gt;1,"Égalité",INDEX($C$3:$E$3,MATCH(MAX(C5:E5),C5:E5,0)))</f>
        <v>Concept C</v>
      </c>
    </row>
    <row r="6" customFormat="false" ht="15" hidden="false" customHeight="false" outlineLevel="0" collapsed="false">
      <c r="A6" s="42" t="str">
        <f aca="false">'Étape 5 - Analyse'!C17</f>
        <v>F3. Temps et stockage</v>
      </c>
      <c r="B6" s="43" t="n">
        <f aca="false">'Étape 5 - Analyse'!D17*100</f>
        <v>20</v>
      </c>
      <c r="C6" s="43" t="n">
        <f aca="false">'Étape 5 - Analyse'!G17*100</f>
        <v>15</v>
      </c>
      <c r="D6" s="43" t="n">
        <f aca="false">'Étape 5 - Analyse'!K17*100</f>
        <v>15</v>
      </c>
      <c r="E6" s="43" t="n">
        <f aca="false">'Étape 5 - Analyse'!O17*100</f>
        <v>15.5</v>
      </c>
      <c r="F6" s="44" t="str">
        <f aca="false">IF(COUNTIF(C6:E6,MAX(C6:E6))&gt;1,"Égalité",INDEX($C$3:$E$3,MATCH(MAX(C6:E6),C6:E6,0)))</f>
        <v>Concept C</v>
      </c>
    </row>
    <row r="7" customFormat="false" ht="15" hidden="false" customHeight="false" outlineLevel="0" collapsed="false">
      <c r="A7" s="42" t="str">
        <f aca="false">'Étape 5 - Analyse'!C21</f>
        <v>F4. Horodater et numéroter</v>
      </c>
      <c r="B7" s="43" t="n">
        <f aca="false">'Étape 5 - Analyse'!D21*100</f>
        <v>15</v>
      </c>
      <c r="C7" s="43" t="n">
        <f aca="false">'Étape 5 - Analyse'!G21*100</f>
        <v>15</v>
      </c>
      <c r="D7" s="43" t="n">
        <f aca="false">'Étape 5 - Analyse'!K21*100</f>
        <v>15</v>
      </c>
      <c r="E7" s="43" t="n">
        <f aca="false">'Étape 5 - Analyse'!O21*100</f>
        <v>15</v>
      </c>
      <c r="F7" s="44" t="str">
        <f aca="false">IF(COUNTIF(C7:E7,MAX(C7:E7))&gt;1,"Égalité",INDEX($C$3:$E$3,MATCH(MAX(C7:E7),C7:E7,0)))</f>
        <v>Égalité</v>
      </c>
    </row>
    <row r="8" customFormat="false" ht="15" hidden="false" customHeight="false" outlineLevel="0" collapsed="false">
      <c r="A8" s="42" t="str">
        <f aca="false">'Étape 5 - Analyse'!C25</f>
        <v>F5. Complétude</v>
      </c>
      <c r="B8" s="43" t="n">
        <f aca="false">'Étape 5 - Analyse'!D25*100</f>
        <v>15</v>
      </c>
      <c r="C8" s="43" t="n">
        <f aca="false">'Étape 5 - Analyse'!G25*100</f>
        <v>15</v>
      </c>
      <c r="D8" s="43" t="n">
        <f aca="false">'Étape 5 - Analyse'!K25*100</f>
        <v>15</v>
      </c>
      <c r="E8" s="43" t="n">
        <f aca="false">'Étape 5 - Analyse'!O25*100</f>
        <v>11.5</v>
      </c>
      <c r="F8" s="44" t="str">
        <f aca="false">IF(COUNTIF(C8:E8,MAX(C8:E8))&gt;1,"Égalité",INDEX($C$3:$E$3,MATCH(MAX(C8:E8),C8:E8,0)))</f>
        <v>Égalité</v>
      </c>
    </row>
    <row r="9" customFormat="false" ht="15" hidden="false" customHeight="false" outlineLevel="0" collapsed="false">
      <c r="A9" s="45" t="str">
        <f aca="false">'Étape 5 - Analyse'!C29</f>
        <v>TOTAL</v>
      </c>
      <c r="B9" s="46" t="n">
        <f aca="false">'Étape 5 - Analyse'!D29*100</f>
        <v>100</v>
      </c>
      <c r="C9" s="46" t="n">
        <f aca="false">'Étape 5 - Analyse'!G29*100</f>
        <v>89.25</v>
      </c>
      <c r="D9" s="46" t="n">
        <f aca="false">'Étape 5 - Analyse'!K29*100</f>
        <v>69.25</v>
      </c>
      <c r="E9" s="46" t="n">
        <f aca="false">'Étape 5 - Analyse'!O29*100</f>
        <v>82.5</v>
      </c>
      <c r="F9" s="47" t="str">
        <f aca="false">IF(COUNTIF(C9:E9,MAX(C9:E9))&gt;1,"Égalité",INDEX($C$3:$E$3,MATCH(MAX(C9:E9),C9:E9,0)))</f>
        <v>Concept B</v>
      </c>
    </row>
    <row r="11" customFormat="false" ht="15" hidden="false" customHeight="false" outlineLevel="0" collapsed="false">
      <c r="A11" s="4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2" t="s">
        <v>97</v>
      </c>
    </row>
    <row r="3" customFormat="false" ht="15" hidden="false" customHeight="false" outlineLevel="0" collapsed="false">
      <c r="A3" s="49" t="s">
        <v>98</v>
      </c>
      <c r="B3" s="49" t="s">
        <v>12</v>
      </c>
      <c r="C3" s="49" t="s">
        <v>99</v>
      </c>
    </row>
    <row r="4" customFormat="false" ht="15" hidden="false" customHeight="false" outlineLevel="0" collapsed="false">
      <c r="A4" s="16" t="s">
        <v>16</v>
      </c>
      <c r="B4" s="16" t="n">
        <v>25</v>
      </c>
      <c r="C4" s="16"/>
    </row>
    <row r="5" customFormat="false" ht="26.85" hidden="false" customHeight="false" outlineLevel="0" collapsed="false">
      <c r="A5" s="19" t="s">
        <v>100</v>
      </c>
      <c r="B5" s="19" t="n">
        <v>12</v>
      </c>
      <c r="C5" s="19" t="s">
        <v>101</v>
      </c>
    </row>
    <row r="6" customFormat="false" ht="15" hidden="false" customHeight="false" outlineLevel="0" collapsed="false">
      <c r="A6" s="19" t="s">
        <v>102</v>
      </c>
      <c r="B6" s="19" t="n">
        <v>8</v>
      </c>
      <c r="C6" s="19" t="s">
        <v>103</v>
      </c>
    </row>
    <row r="7" customFormat="false" ht="15" hidden="false" customHeight="false" outlineLevel="0" collapsed="false">
      <c r="A7" s="19" t="s">
        <v>104</v>
      </c>
      <c r="B7" s="19" t="n">
        <v>5</v>
      </c>
      <c r="C7" s="19" t="s">
        <v>105</v>
      </c>
    </row>
    <row r="8" customFormat="false" ht="15" hidden="false" customHeight="false" outlineLevel="0" collapsed="false">
      <c r="A8" s="16" t="s">
        <v>29</v>
      </c>
      <c r="B8" s="16" t="n">
        <v>25</v>
      </c>
      <c r="C8" s="16"/>
    </row>
    <row r="9" customFormat="false" ht="15" hidden="false" customHeight="false" outlineLevel="0" collapsed="false">
      <c r="A9" s="19" t="s">
        <v>106</v>
      </c>
      <c r="B9" s="19" t="n">
        <v>12</v>
      </c>
      <c r="C9" s="19" t="s">
        <v>107</v>
      </c>
    </row>
    <row r="10" customFormat="false" ht="15" hidden="false" customHeight="false" outlineLevel="0" collapsed="false">
      <c r="A10" s="19" t="s">
        <v>108</v>
      </c>
      <c r="B10" s="19" t="n">
        <v>8</v>
      </c>
      <c r="C10" s="19" t="s">
        <v>109</v>
      </c>
    </row>
    <row r="11" customFormat="false" ht="15" hidden="false" customHeight="false" outlineLevel="0" collapsed="false">
      <c r="A11" s="19" t="s">
        <v>110</v>
      </c>
      <c r="B11" s="19" t="n">
        <v>5</v>
      </c>
      <c r="C11" s="19" t="s">
        <v>111</v>
      </c>
    </row>
    <row r="12" customFormat="false" ht="15" hidden="false" customHeight="false" outlineLevel="0" collapsed="false">
      <c r="A12" s="16" t="s">
        <v>42</v>
      </c>
      <c r="B12" s="16" t="n">
        <v>20</v>
      </c>
      <c r="C12" s="16"/>
    </row>
    <row r="13" customFormat="false" ht="15" hidden="false" customHeight="false" outlineLevel="0" collapsed="false">
      <c r="A13" s="19" t="s">
        <v>112</v>
      </c>
      <c r="B13" s="19" t="n">
        <v>10</v>
      </c>
      <c r="C13" s="19" t="s">
        <v>113</v>
      </c>
    </row>
    <row r="14" customFormat="false" ht="15" hidden="false" customHeight="false" outlineLevel="0" collapsed="false">
      <c r="A14" s="19" t="s">
        <v>114</v>
      </c>
      <c r="B14" s="19" t="n">
        <v>6</v>
      </c>
      <c r="C14" s="19" t="s">
        <v>115</v>
      </c>
    </row>
    <row r="15" customFormat="false" ht="15" hidden="false" customHeight="false" outlineLevel="0" collapsed="false">
      <c r="A15" s="19" t="s">
        <v>116</v>
      </c>
      <c r="B15" s="19" t="n">
        <v>4</v>
      </c>
      <c r="C15" s="19" t="s">
        <v>117</v>
      </c>
    </row>
    <row r="16" customFormat="false" ht="15" hidden="false" customHeight="false" outlineLevel="0" collapsed="false">
      <c r="A16" s="16" t="s">
        <v>54</v>
      </c>
      <c r="B16" s="16" t="n">
        <v>15</v>
      </c>
      <c r="C16" s="16"/>
    </row>
    <row r="17" customFormat="false" ht="15" hidden="false" customHeight="false" outlineLevel="0" collapsed="false">
      <c r="A17" s="19" t="s">
        <v>118</v>
      </c>
      <c r="B17" s="19" t="n">
        <v>6</v>
      </c>
      <c r="C17" s="19" t="s">
        <v>119</v>
      </c>
    </row>
    <row r="18" customFormat="false" ht="15" hidden="false" customHeight="false" outlineLevel="0" collapsed="false">
      <c r="A18" s="19" t="s">
        <v>120</v>
      </c>
      <c r="B18" s="19" t="n">
        <v>5</v>
      </c>
      <c r="C18" s="19" t="s">
        <v>121</v>
      </c>
    </row>
    <row r="19" customFormat="false" ht="15" hidden="false" customHeight="false" outlineLevel="0" collapsed="false">
      <c r="A19" s="19" t="s">
        <v>122</v>
      </c>
      <c r="B19" s="19" t="n">
        <v>4</v>
      </c>
      <c r="C19" s="19" t="s">
        <v>123</v>
      </c>
    </row>
    <row r="20" customFormat="false" ht="15" hidden="false" customHeight="false" outlineLevel="0" collapsed="false">
      <c r="A20" s="16" t="s">
        <v>64</v>
      </c>
      <c r="B20" s="16" t="n">
        <v>15</v>
      </c>
      <c r="C20" s="16"/>
    </row>
    <row r="21" customFormat="false" ht="15" hidden="false" customHeight="false" outlineLevel="0" collapsed="false">
      <c r="A21" s="19" t="s">
        <v>124</v>
      </c>
      <c r="B21" s="19" t="n">
        <v>8</v>
      </c>
      <c r="C21" s="19" t="s">
        <v>125</v>
      </c>
    </row>
    <row r="22" customFormat="false" ht="15" hidden="false" customHeight="false" outlineLevel="0" collapsed="false">
      <c r="A22" s="19" t="s">
        <v>126</v>
      </c>
      <c r="B22" s="19" t="n">
        <v>4</v>
      </c>
      <c r="C22" s="19" t="s">
        <v>127</v>
      </c>
    </row>
    <row r="23" customFormat="false" ht="15" hidden="false" customHeight="false" outlineLevel="0" collapsed="false">
      <c r="A23" s="19" t="s">
        <v>128</v>
      </c>
      <c r="B23" s="19" t="n">
        <v>3</v>
      </c>
      <c r="C23" s="19" t="s">
        <v>129</v>
      </c>
    </row>
    <row r="25" customFormat="false" ht="30" hidden="false" customHeight="true" outlineLevel="0" collapsed="false">
      <c r="A25" s="40" t="s">
        <v>130</v>
      </c>
      <c r="B25" s="40"/>
      <c r="C25" s="40"/>
    </row>
  </sheetData>
  <mergeCells count="1"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2026-10-22T15:51:20Z</dcterms:created>
  <dc:creator>openpyxl</dc:creator>
  <dc:description/>
  <dc:language>en-US</dc:language>
  <cp:lastModifiedBy/>
  <dcterms:modified xsi:type="dcterms:W3CDTF">2026-10-22T15:51:20Z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