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7 Analyse remplie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<sst xmlns="http://schemas.openxmlformats.org/spreadsheetml/2006/main" count="75" uniqueCount="67">
  <si>
    <t xml:space="preserve">Étape 5 — Analyse des solutions par caractéristiques voulues</t>
  </si>
  <si>
    <t xml:space="preserve">Lot L7 — Décider si un résidu traduit une anomalie, et dire avec quelle confiance</t>
  </si>
  <si>
    <t xml:space="preserve">Notes et poids repris de la section 5 du README. Évaluation de conception, sans résultats d’essais fournis.</t>
  </si>
  <si>
    <t xml:space="preserve">Score global pondéré</t>
  </si>
  <si>
    <t xml:space="preserve">Classement selon le README</t>
  </si>
  <si>
    <t xml:space="preserve">Solution préférée selon les notes</t>
  </si>
  <si>
    <t xml:space="preserve">A — Budget d’incertitude</t>
  </si>
  <si>
    <t xml:space="preserve">B — Décision par signature</t>
  </si>
  <si>
    <t xml:space="preserve">C — Décision séquentielle</t>
  </si>
  <si>
    <t xml:space="preserve">Priorité</t>
  </si>
  <si>
    <t xml:space="preserve">N°</t>
  </si>
  <si>
    <t xml:space="preserve">Critère de décision</t>
  </si>
  <si>
    <t xml:space="preserve">Poids</t>
  </si>
  <si>
    <t xml:space="preserve">Pointage /10</t>
  </si>
  <si>
    <t xml:space="preserve">Résultat pondéré</t>
  </si>
  <si>
    <t xml:space="preserve">Commentaires et justification</t>
  </si>
  <si>
    <t xml:space="preserve">Performance de détection et diagnostic</t>
  </si>
  <si>
    <t xml:space="preserve">Détection des dérives lentes et cyberattaques furtives</t>
  </si>
  <si>
    <t xml:space="preserve">Seuil statique (2,5 σ &lt; écart ≤ 3,5 σ) : faible dérive sous la limite U_r non signalée.</t>
  </si>
  <si>
    <t xml:space="preserve">Seuils statiques (±τ_i ≈ 3 σ) : dérives lentes sous les tolérances non détectées.</t>
  </si>
  <si>
    <t xml:space="preserve">Accumulation temporelle permettant de détecter un biais ≤ 1,5 σ sur un horizon ≤ 20 Δt.</t>
  </si>
  <si>
    <t xml:space="preserve">Temps de latence sur anomalie franche</t>
  </si>
  <si>
    <t xml:space="preserve">Comparaison instantanée à chaque pas (t ≤ 1 Δt sur saut franc &gt; U_r).</t>
  </si>
  <si>
    <t xml:space="preserve">Appariement instantané à chaque pas (t ≤ 1 Δt sur saut franc &gt; τ_i).</t>
  </si>
  <si>
    <t xml:space="preserve">Détection en 1 à 3 Δt sur saut franc (&gt; 4 σ) ; délai plus long sur faible dérive.</t>
  </si>
  <si>
    <t xml:space="preserve">Capacité d’isolation physique ou cyber capteur</t>
  </si>
  <si>
    <t xml:space="preserve">Détecte la variable en dépassement (T, Q ou P) sans distinguer panne physique et attaque capteur.</t>
  </si>
  <si>
    <t xml:space="preserve">Isole panne physique (multi-variables) et attaque mono-capteur (hors attaque coordonnée).</t>
  </si>
  <si>
    <t xml:space="preserve">Identifie la variable en dérive et l'instant initial k̂₀ ; sans isolation causale seule.</t>
  </si>
  <si>
    <t xml:space="preserve">Fiabilité et quantification de la confiance</t>
  </si>
  <si>
    <t xml:space="preserve">Rigueur de l’indice de confiance</t>
  </si>
  <si>
    <t xml:space="preserve">Intervalle de couverture métrologique U_r = k·u_c(r) (NIST TN 1297) ; distinct d'une probabilité de diagnostic.</t>
  </si>
  <si>
    <t xml:space="preserve">Score de concordance géométrique [0–100 %] (amplitude × cos²θ) ; indicateur non probabiliste.</t>
  </si>
  <si>
    <t xml:space="preserve">Progression S(k)/B vers le seuil de Wald B = ln((1-β)/α) garantissant les risques (α, β) sous H₀/H₁.</t>
  </si>
  <si>
    <t xml:space="preserve">Taux de fausses alertes en régime bruité</t>
  </si>
  <si>
    <t xml:space="preserve">Facteur k = 2 à 3 (0,1 % &lt; α ≤ 1 % sous bruit gaussien stationnaire) ; sensible aux pointes isolées.</t>
  </si>
  <si>
    <t xml:space="preserve">Combinaison de 3 voies sans filtrage temporel (1 % &lt; α ≤ 5 % sans hystérésis temporelle).</t>
  </si>
  <si>
    <t xml:space="preserve">Seuil B paramétrable pour garantir α ≤ 0,1 % ; les pointes isolées sont résorbées par la moyenne nulle.</t>
  </si>
  <si>
    <t xml:space="preserve">Gestion des données invalides ou manquantes</t>
  </si>
  <si>
    <t xml:space="preserve">État Incertain et suspension prévus si budget ou données invalides.</t>
  </si>
  <si>
    <t xml:space="preserve">État Incertain prévu si le vecteur de résidus est incomplet.</t>
  </si>
  <si>
    <t xml:space="preserve">État Incertain prévu lors d’une rupture de continuité.</t>
  </si>
  <si>
    <t xml:space="preserve">Sûreté de conduite et explicabilité</t>
  </si>
  <si>
    <t xml:space="preserve">Non-ingérence sur le contrôle de la boucle</t>
  </si>
  <si>
    <t xml:space="preserve">Aide passive à l’opérateur prévue; aucune commande directe.</t>
  </si>
  <si>
    <t xml:space="preserve">Clarté et justification du résultat à l’interface</t>
  </si>
  <si>
    <t xml:space="preserve">Résidu, limite et conditions de validité prévus.</t>
  </si>
  <si>
    <t xml:space="preserve">Signature et hypothèse d’origine expliquées; origine non prouvée.</t>
  </si>
  <si>
    <t xml:space="preserve">Affiche la progression S(k)/B, le seuil B, l'instant initial k̂₀ et la garantie (1 - α).</t>
  </si>
  <si>
    <t xml:space="preserve">Simplicité d’implantation et calibration</t>
  </si>
  <si>
    <t xml:space="preserve">Effort de paramétrage et d’implantation</t>
  </si>
  <si>
    <t xml:space="preserve">Budget et corrélations jugés complexes; inventaire des paramètres à confirmer.</t>
  </si>
  <si>
    <t xml:space="preserve">Table de signatures et seuils; effort réel à estimer.</t>
  </si>
  <si>
    <t xml:space="preserve">Algorithme récursif léger (3 paramètres par voie : σ_i, dérive cible μ_i,m et seuil B).</t>
  </si>
  <si>
    <t xml:space="preserve">TOTAL</t>
  </si>
  <si>
    <t xml:space="preserve">Utilisation et provenance</t>
  </si>
  <si>
    <t xml:space="preserve">Source : lot_l7_detection_anomalies_concepts.md, section 5. Mise en page inspirée de image(7).png. Notes et pondérations conservées.</t>
  </si>
  <si>
    <t xml:space="preserve">Calcul : contribution = poids × pointage / 10. Conversion : 100 % = 10; 75 % = 7,5; 50 % = 5; 25 % = 2,5.</t>
  </si>
  <si>
    <t xml:space="preserve">Priorités proposées : 1 pour poids 15 %, 2 pour poids 10 %, 3 pour poids 5 %. Elles ne multiplient pas le score. Cellules jaunes modifiables.</t>
  </si>
  <si>
    <t xml:space="preserve">Le classement reproduit l’analyse du README : il ne démontre ni les performances du prototype ni la conformité aux normes citées.</t>
  </si>
  <si>
    <t xml:space="preserve">Points à valider avant sélection définitive</t>
  </si>
  <si>
    <t xml:space="preserve">1. Fausses alertes et latence : valeurs issues de l'analyse théorique (Étape 5) ; à confirmer par essais sur profils synthétiques.</t>
  </si>
  <si>
    <t xml:space="preserve">2. Concept B (Signature) : isole les attaques mono-capteur, mais une attaque coordonnée multi-capteurs nécessite la redondance temporelle.</t>
  </si>
  <si>
    <t xml:space="preserve">3. Concept C (Séquentiel) : utilise la forme récursive à réinitialisation (CUSUM de Page) avec seuil haut de Wald B = ln((1-β)/α).</t>
  </si>
  <si>
    <t xml:space="preserve">4. Confiance : chaque concept exprime une métrique propre (couverture U_r, concordance cos²θ, ou progression S(k)/B sous garantie α).</t>
  </si>
  <si>
    <t xml:space="preserve">5. Barème des dérives lentes : intervalles continus normalisés (≤ 1,5 σ ; ]1,5 ; 2,5] σ ; ]2,5 ; 3,5] σ ; ]3,5 ; 5,0] σ ; &gt; 5,0 σ) sur 20 Δt.</t>
  </si>
  <si>
    <t xml:space="preserve">6. Admissibilité : aucun des trois concepts ne déclenche de condition de rejet (aucune commande directe, gestion explicite de l'état Incertain).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</si>
</sst>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General"/>
    <numFmt numFmtId="167" formatCode="0%"/>
    <numFmt numFmtId="168" formatCode="0.0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0"/>
      <charset val="1"/>
    </font>
    <font>
      <b val="true"/>
      <sz val="17"/>
      <name val="Arial"/>
      <family val="0"/>
      <charset val="1"/>
    </font>
    <font>
      <i val="true"/>
      <sz val="11"/>
      <color rgb="FF785B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AF0DB"/>
        <bgColor rgb="FFEEE7D2"/>
      </patternFill>
    </fill>
    <fill>
      <patternFill patternType="solid">
        <fgColor rgb="FFEEE7D2"/>
        <bgColor rgb="FFEAF0DB"/>
      </patternFill>
    </fill>
    <fill>
      <patternFill patternType="solid">
        <fgColor rgb="FFDCEEF2"/>
        <bgColor rgb="FFEAF0DB"/>
      </patternFill>
    </fill>
    <fill>
      <patternFill patternType="solid">
        <fgColor rgb="FF132F4D"/>
        <bgColor rgb="FF333333"/>
      </patternFill>
    </fill>
    <fill>
      <patternFill patternType="solid">
        <fgColor rgb="FFD9DDE2"/>
        <bgColor rgb="FFCAD0D8"/>
      </patternFill>
    </fill>
    <fill>
      <patternFill patternType="solid">
        <fgColor rgb="FFFFF2CC"/>
        <bgColor rgb="FFEAF0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AD0D8"/>
      </left>
      <right style="thin">
        <color rgb="FFCAD0D8"/>
      </right>
      <top style="thin">
        <color rgb="FFCAD0D8"/>
      </top>
      <bottom style="thin">
        <color rgb="FFCAD0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5B16"/>
      <rgbColor rgb="FF800080"/>
      <rgbColor rgb="FF008080"/>
      <rgbColor rgb="FFD9DDE2"/>
      <rgbColor rgb="FF808080"/>
      <rgbColor rgb="FF9999FF"/>
      <rgbColor rgb="FF993366"/>
      <rgbColor rgb="FFFFF2CC"/>
      <rgbColor rgb="FFDCEEF2"/>
      <rgbColor rgb="FF660066"/>
      <rgbColor rgb="FFFF8080"/>
      <rgbColor rgb="FF0066CC"/>
      <rgbColor rgb="FFCAD0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0DB"/>
      <rgbColor rgb="FFEEE7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32F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796875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42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42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42"/>
  </cols>
  <sheetData>
    <row r="1" customFormat="false" ht="13.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5.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5.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25.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customFormat="false" ht="24.75" hidden="false" customHeight="true" outlineLevel="0" collapsed="false">
      <c r="A5" s="3" t="s">
        <v>3</v>
      </c>
      <c r="B5" s="3"/>
      <c r="C5" s="3"/>
      <c r="D5" s="3"/>
      <c r="E5" s="5" t="n">
        <f aca="false">IF(COUNT(E11,E12,E13,E15,E16,E17,E19,E20,E22)=9,SUM(F10,F14,F18,F21),"")</f>
        <v>0.7375</v>
      </c>
      <c r="F5" s="5"/>
      <c r="G5" s="5"/>
      <c r="H5" s="5" t="n">
        <f aca="false">IF(COUNT(H11,H12,H13,H15,H16,H17,H19,H20,H22)=9,SUM(I10,I14,I18,I21),"")</f>
        <v>0.775</v>
      </c>
      <c r="I5" s="5"/>
      <c r="J5" s="5"/>
      <c r="K5" s="5" t="n">
        <f aca="false">IF(COUNT(K11,K12,K13,K15,K16,K17,K19,K20,K22)=9,SUM(L10,L14,L18,L21),"")</f>
        <v>0.9125</v>
      </c>
      <c r="L5" s="5"/>
      <c r="M5" s="5"/>
    </row>
    <row r="6" customFormat="false" ht="24.75" hidden="false" customHeight="true" outlineLevel="0" collapsed="false">
      <c r="A6" s="3" t="s">
        <v>4</v>
      </c>
      <c r="B6" s="3"/>
      <c r="C6" s="3"/>
      <c r="D6" s="3"/>
      <c r="E6" s="6" t="n">
        <f aca="false">IF(COUNT(E5,H5,K5)&lt;3,"À compléter",1+IF(H5&gt;E5,1,0)+IF(K5&gt;E5,1,0))</f>
        <v>3</v>
      </c>
      <c r="F6" s="6"/>
      <c r="G6" s="6"/>
      <c r="H6" s="6" t="n">
        <f aca="false">IF(COUNT(E5,H5,K5)&lt;3,"À compléter",1+IF(E5&gt;H5,1,0)+IF(K5&gt;H5,1,0))</f>
        <v>2</v>
      </c>
      <c r="I6" s="6"/>
      <c r="J6" s="6"/>
      <c r="K6" s="6" t="n">
        <f aca="false">IF(COUNT(E5,H5,K5)&lt;3,"À compléter",1+IF(E5&gt;K5,1,0)+IF(H5&gt;K5,1,0))</f>
        <v>1</v>
      </c>
      <c r="L6" s="6"/>
      <c r="M6" s="6"/>
    </row>
    <row r="7" customFormat="false" ht="24.75" hidden="false" customHeight="true" outlineLevel="0" collapsed="false">
      <c r="A7" s="3" t="s">
        <v>5</v>
      </c>
      <c r="B7" s="3"/>
      <c r="C7" s="3"/>
      <c r="D7" s="3"/>
      <c r="E7" s="7" t="str">
        <f aca="false">IF(COUNT(E5,H5,K5)&lt;3,"Notes à compléter",IF((E5=MAX(E5,H5,K5))+(H5=MAX(E5,H5,K5))+(K5=MAX(E5,H5,K5))&gt;1,"Ex æquo",IF(E5=MAX(E5,H5,K5),"A — Budget d’incertitude",IF(H5=MAX(E5,H5,K5),"B — Décision par signature","C — Décision séquentielle"))))</f>
        <v>C — Décision séquentielle</v>
      </c>
      <c r="F7" s="7"/>
      <c r="G7" s="7"/>
      <c r="H7" s="7"/>
      <c r="I7" s="7"/>
      <c r="J7" s="7"/>
      <c r="K7" s="7"/>
      <c r="L7" s="7"/>
      <c r="M7" s="7"/>
    </row>
    <row r="8" customFormat="false" ht="24.75" hidden="false" customHeight="true" outlineLevel="0" collapsed="false">
      <c r="A8" s="8"/>
      <c r="B8" s="8"/>
      <c r="C8" s="8"/>
      <c r="D8" s="8"/>
      <c r="E8" s="9" t="s">
        <v>6</v>
      </c>
      <c r="F8" s="9"/>
      <c r="G8" s="9"/>
      <c r="H8" s="10" t="s">
        <v>7</v>
      </c>
      <c r="I8" s="10"/>
      <c r="J8" s="10"/>
      <c r="K8" s="11" t="s">
        <v>8</v>
      </c>
      <c r="L8" s="11"/>
      <c r="M8" s="11"/>
    </row>
    <row r="9" customFormat="false" ht="34.5" hidden="false" customHeight="true" outlineLevel="0" collapsed="false">
      <c r="A9" s="12" t="s">
        <v>9</v>
      </c>
      <c r="B9" s="12" t="s">
        <v>10</v>
      </c>
      <c r="C9" s="12" t="s">
        <v>11</v>
      </c>
      <c r="D9" s="12" t="s">
        <v>12</v>
      </c>
      <c r="E9" s="12" t="s">
        <v>13</v>
      </c>
      <c r="F9" s="12" t="s">
        <v>14</v>
      </c>
      <c r="G9" s="12" t="s">
        <v>15</v>
      </c>
      <c r="H9" s="12" t="s">
        <v>13</v>
      </c>
      <c r="I9" s="12" t="s">
        <v>14</v>
      </c>
      <c r="J9" s="12" t="s">
        <v>15</v>
      </c>
      <c r="K9" s="12" t="s">
        <v>13</v>
      </c>
      <c r="L9" s="12" t="s">
        <v>14</v>
      </c>
      <c r="M9" s="12" t="s">
        <v>15</v>
      </c>
    </row>
    <row r="10" customFormat="false" ht="34.5" hidden="false" customHeight="true" outlineLevel="0" collapsed="false">
      <c r="A10" s="13" t="s">
        <v>16</v>
      </c>
      <c r="B10" s="13"/>
      <c r="C10" s="13"/>
      <c r="D10" s="14" t="n">
        <f aca="false">SUM(D11:D13)</f>
        <v>0.4</v>
      </c>
      <c r="E10" s="15"/>
      <c r="F10" s="16" t="n">
        <f aca="false">IF(COUNT(E11:E13)=3,SUM(F11:F13),"")</f>
        <v>0.275</v>
      </c>
      <c r="G10" s="15"/>
      <c r="H10" s="15"/>
      <c r="I10" s="16" t="n">
        <f aca="false">IF(COUNT(H11:H13)=3,SUM(I11:I13),"")</f>
        <v>0.325</v>
      </c>
      <c r="J10" s="15"/>
      <c r="K10" s="15"/>
      <c r="L10" s="16" t="n">
        <f aca="false">IF(COUNT(K11:K13)=3,SUM(L11:L13),"")</f>
        <v>0.3375</v>
      </c>
      <c r="M10" s="15"/>
    </row>
    <row r="11" customFormat="false" ht="61.5" hidden="false" customHeight="true" outlineLevel="0" collapsed="false">
      <c r="A11" s="17" t="n">
        <v>1</v>
      </c>
      <c r="B11" s="18" t="n">
        <v>1</v>
      </c>
      <c r="C11" s="19" t="s">
        <v>17</v>
      </c>
      <c r="D11" s="20" t="n">
        <v>0.15</v>
      </c>
      <c r="E11" s="21" t="n">
        <v>5</v>
      </c>
      <c r="F11" s="22" t="n">
        <f aca="false">IF(ISNUMBER(E11),$D11*E11/10,"")</f>
        <v>0.075</v>
      </c>
      <c r="G11" s="23" t="s">
        <v>18</v>
      </c>
      <c r="H11" s="21" t="n">
        <v>5</v>
      </c>
      <c r="I11" s="24" t="n">
        <f aca="false">IF(ISNUMBER(H11),$D11*H11/10,"")</f>
        <v>0.075</v>
      </c>
      <c r="J11" s="25" t="s">
        <v>19</v>
      </c>
      <c r="K11" s="21" t="n">
        <v>10</v>
      </c>
      <c r="L11" s="26" t="n">
        <f aca="false">IF(ISNUMBER(K11),$D11*K11/10,"")</f>
        <v>0.15</v>
      </c>
      <c r="M11" s="27" t="s">
        <v>20</v>
      </c>
    </row>
    <row r="12" customFormat="false" ht="61.5" hidden="false" customHeight="true" outlineLevel="0" collapsed="false">
      <c r="A12" s="17" t="n">
        <v>1</v>
      </c>
      <c r="B12" s="18" t="n">
        <v>2</v>
      </c>
      <c r="C12" s="19" t="s">
        <v>21</v>
      </c>
      <c r="D12" s="20" t="n">
        <v>0.15</v>
      </c>
      <c r="E12" s="21" t="n">
        <v>10</v>
      </c>
      <c r="F12" s="22" t="n">
        <f aca="false">IF(ISNUMBER(E12),$D12*E12/10,"")</f>
        <v>0.15</v>
      </c>
      <c r="G12" s="23" t="s">
        <v>22</v>
      </c>
      <c r="H12" s="21" t="n">
        <v>10</v>
      </c>
      <c r="I12" s="24" t="n">
        <f aca="false">IF(ISNUMBER(H12),$D12*H12/10,"")</f>
        <v>0.15</v>
      </c>
      <c r="J12" s="25" t="s">
        <v>23</v>
      </c>
      <c r="K12" s="21" t="n">
        <v>7.5</v>
      </c>
      <c r="L12" s="26" t="n">
        <f aca="false">IF(ISNUMBER(K12),$D12*K12/10,"")</f>
        <v>0.1125</v>
      </c>
      <c r="M12" s="27" t="s">
        <v>24</v>
      </c>
    </row>
    <row r="13" customFormat="false" ht="61.5" hidden="false" customHeight="true" outlineLevel="0" collapsed="false">
      <c r="A13" s="17" t="n">
        <v>2</v>
      </c>
      <c r="B13" s="18" t="n">
        <v>3</v>
      </c>
      <c r="C13" s="19" t="s">
        <v>25</v>
      </c>
      <c r="D13" s="20" t="n">
        <v>0.1</v>
      </c>
      <c r="E13" s="21" t="n">
        <v>5</v>
      </c>
      <c r="F13" s="22" t="n">
        <f aca="false">IF(ISNUMBER(E13),$D13*E13/10,"")</f>
        <v>0.05</v>
      </c>
      <c r="G13" s="23" t="s">
        <v>26</v>
      </c>
      <c r="H13" s="21" t="n">
        <v>10</v>
      </c>
      <c r="I13" s="24" t="n">
        <f aca="false">IF(ISNUMBER(H13),$D13*H13/10,"")</f>
        <v>0.1</v>
      </c>
      <c r="J13" s="25" t="s">
        <v>27</v>
      </c>
      <c r="K13" s="21" t="n">
        <v>7.5</v>
      </c>
      <c r="L13" s="26" t="n">
        <f aca="false">IF(ISNUMBER(K13),$D13*K13/10,"")</f>
        <v>0.075</v>
      </c>
      <c r="M13" s="27" t="s">
        <v>28</v>
      </c>
    </row>
    <row r="14" customFormat="false" ht="34.5" hidden="false" customHeight="true" outlineLevel="0" collapsed="false">
      <c r="A14" s="13" t="s">
        <v>29</v>
      </c>
      <c r="B14" s="13"/>
      <c r="C14" s="13"/>
      <c r="D14" s="14" t="n">
        <f aca="false">SUM(D15:D17)</f>
        <v>0.35</v>
      </c>
      <c r="E14" s="15"/>
      <c r="F14" s="16" t="n">
        <f aca="false">IF(COUNT(E15:E17)=3,SUM(F15:F17),"")</f>
        <v>0.2875</v>
      </c>
      <c r="G14" s="15"/>
      <c r="H14" s="15"/>
      <c r="I14" s="16" t="n">
        <f aca="false">IF(COUNT(H15:H17)=3,SUM(I15:I17),"")</f>
        <v>0.225</v>
      </c>
      <c r="J14" s="15"/>
      <c r="K14" s="15"/>
      <c r="L14" s="16" t="n">
        <f aca="false">IF(COUNT(K15:K17)=3,SUM(L15:L17),"")</f>
        <v>0.35</v>
      </c>
      <c r="M14" s="15"/>
    </row>
    <row r="15" customFormat="false" ht="61.5" hidden="false" customHeight="true" outlineLevel="0" collapsed="false">
      <c r="A15" s="17" t="n">
        <v>1</v>
      </c>
      <c r="B15" s="18" t="n">
        <v>4</v>
      </c>
      <c r="C15" s="19" t="s">
        <v>30</v>
      </c>
      <c r="D15" s="20" t="n">
        <v>0.15</v>
      </c>
      <c r="E15" s="21" t="n">
        <v>7.5</v>
      </c>
      <c r="F15" s="22" t="n">
        <f aca="false">IF(ISNUMBER(E15),$D15*E15/10,"")</f>
        <v>0.1125</v>
      </c>
      <c r="G15" s="23" t="s">
        <v>31</v>
      </c>
      <c r="H15" s="21" t="n">
        <v>5</v>
      </c>
      <c r="I15" s="24" t="n">
        <f aca="false">IF(ISNUMBER(H15),$D15*H15/10,"")</f>
        <v>0.075</v>
      </c>
      <c r="J15" s="25" t="s">
        <v>32</v>
      </c>
      <c r="K15" s="21" t="n">
        <v>10</v>
      </c>
      <c r="L15" s="26" t="n">
        <f aca="false">IF(ISNUMBER(K15),$D15*K15/10,"")</f>
        <v>0.15</v>
      </c>
      <c r="M15" s="27" t="s">
        <v>33</v>
      </c>
    </row>
    <row r="16" customFormat="false" ht="61.5" hidden="false" customHeight="true" outlineLevel="0" collapsed="false">
      <c r="A16" s="17" t="n">
        <v>2</v>
      </c>
      <c r="B16" s="18" t="n">
        <v>5</v>
      </c>
      <c r="C16" s="19" t="s">
        <v>34</v>
      </c>
      <c r="D16" s="20" t="n">
        <v>0.1</v>
      </c>
      <c r="E16" s="21" t="n">
        <v>7.5</v>
      </c>
      <c r="F16" s="22" t="n">
        <f aca="false">IF(ISNUMBER(E16),$D16*E16/10,"")</f>
        <v>0.075</v>
      </c>
      <c r="G16" s="23" t="s">
        <v>35</v>
      </c>
      <c r="H16" s="21" t="n">
        <v>5</v>
      </c>
      <c r="I16" s="24" t="n">
        <f aca="false">IF(ISNUMBER(H16),$D16*H16/10,"")</f>
        <v>0.05</v>
      </c>
      <c r="J16" s="25" t="s">
        <v>36</v>
      </c>
      <c r="K16" s="21" t="n">
        <v>10</v>
      </c>
      <c r="L16" s="26" t="n">
        <f aca="false">IF(ISNUMBER(K16),$D16*K16/10,"")</f>
        <v>0.1</v>
      </c>
      <c r="M16" s="27" t="s">
        <v>37</v>
      </c>
    </row>
    <row r="17" customFormat="false" ht="61.5" hidden="false" customHeight="true" outlineLevel="0" collapsed="false">
      <c r="A17" s="17" t="n">
        <v>2</v>
      </c>
      <c r="B17" s="18" t="n">
        <v>6</v>
      </c>
      <c r="C17" s="19" t="s">
        <v>38</v>
      </c>
      <c r="D17" s="20" t="n">
        <v>0.1</v>
      </c>
      <c r="E17" s="21" t="n">
        <v>10</v>
      </c>
      <c r="F17" s="22" t="n">
        <f aca="false">IF(ISNUMBER(E17),$D17*E17/10,"")</f>
        <v>0.1</v>
      </c>
      <c r="G17" s="23" t="s">
        <v>39</v>
      </c>
      <c r="H17" s="21" t="n">
        <v>10</v>
      </c>
      <c r="I17" s="24" t="n">
        <f aca="false">IF(ISNUMBER(H17),$D17*H17/10,"")</f>
        <v>0.1</v>
      </c>
      <c r="J17" s="25" t="s">
        <v>40</v>
      </c>
      <c r="K17" s="21" t="n">
        <v>10</v>
      </c>
      <c r="L17" s="26" t="n">
        <f aca="false">IF(ISNUMBER(K17),$D17*K17/10,"")</f>
        <v>0.1</v>
      </c>
      <c r="M17" s="27" t="s">
        <v>41</v>
      </c>
    </row>
    <row r="18" customFormat="false" ht="34.5" hidden="false" customHeight="true" outlineLevel="0" collapsed="false">
      <c r="A18" s="13" t="s">
        <v>42</v>
      </c>
      <c r="B18" s="13"/>
      <c r="C18" s="13"/>
      <c r="D18" s="14" t="n">
        <f aca="false">SUM(D19:D20)</f>
        <v>0.15</v>
      </c>
      <c r="E18" s="15"/>
      <c r="F18" s="16" t="n">
        <f aca="false">IF(COUNT(E19:E20)=2,SUM(F19:F20),"")</f>
        <v>0.125</v>
      </c>
      <c r="G18" s="15"/>
      <c r="H18" s="15"/>
      <c r="I18" s="16" t="n">
        <f aca="false">IF(COUNT(H19:H20)=2,SUM(I19:I20),"")</f>
        <v>0.15</v>
      </c>
      <c r="J18" s="15"/>
      <c r="K18" s="15"/>
      <c r="L18" s="16" t="n">
        <f aca="false">IF(COUNT(K19:K20)=2,SUM(L19:L20),"")</f>
        <v>0.125</v>
      </c>
      <c r="M18" s="15"/>
    </row>
    <row r="19" customFormat="false" ht="61.5" hidden="false" customHeight="true" outlineLevel="0" collapsed="false">
      <c r="A19" s="17" t="n">
        <v>3</v>
      </c>
      <c r="B19" s="18" t="n">
        <v>7</v>
      </c>
      <c r="C19" s="19" t="s">
        <v>43</v>
      </c>
      <c r="D19" s="20" t="n">
        <v>0.05</v>
      </c>
      <c r="E19" s="21" t="n">
        <v>10</v>
      </c>
      <c r="F19" s="22" t="n">
        <f aca="false">IF(ISNUMBER(E19),$D19*E19/10,"")</f>
        <v>0.05</v>
      </c>
      <c r="G19" s="23" t="s">
        <v>44</v>
      </c>
      <c r="H19" s="21" t="n">
        <v>10</v>
      </c>
      <c r="I19" s="24" t="n">
        <f aca="false">IF(ISNUMBER(H19),$D19*H19/10,"")</f>
        <v>0.05</v>
      </c>
      <c r="J19" s="25" t="s">
        <v>44</v>
      </c>
      <c r="K19" s="21" t="n">
        <v>10</v>
      </c>
      <c r="L19" s="26" t="n">
        <f aca="false">IF(ISNUMBER(K19),$D19*K19/10,"")</f>
        <v>0.05</v>
      </c>
      <c r="M19" s="27" t="s">
        <v>44</v>
      </c>
    </row>
    <row r="20" customFormat="false" ht="61.5" hidden="false" customHeight="true" outlineLevel="0" collapsed="false">
      <c r="A20" s="17" t="n">
        <v>2</v>
      </c>
      <c r="B20" s="18" t="n">
        <v>8</v>
      </c>
      <c r="C20" s="19" t="s">
        <v>45</v>
      </c>
      <c r="D20" s="20" t="n">
        <v>0.1</v>
      </c>
      <c r="E20" s="21" t="n">
        <v>7.5</v>
      </c>
      <c r="F20" s="22" t="n">
        <f aca="false">IF(ISNUMBER(E20),$D20*E20/10,"")</f>
        <v>0.075</v>
      </c>
      <c r="G20" s="23" t="s">
        <v>46</v>
      </c>
      <c r="H20" s="21" t="n">
        <v>10</v>
      </c>
      <c r="I20" s="24" t="n">
        <f aca="false">IF(ISNUMBER(H20),$D20*H20/10,"")</f>
        <v>0.1</v>
      </c>
      <c r="J20" s="25" t="s">
        <v>47</v>
      </c>
      <c r="K20" s="21" t="n">
        <v>7.5</v>
      </c>
      <c r="L20" s="26" t="n">
        <f aca="false">IF(ISNUMBER(K20),$D20*K20/10,"")</f>
        <v>0.075</v>
      </c>
      <c r="M20" s="27" t="s">
        <v>48</v>
      </c>
    </row>
    <row r="21" customFormat="false" ht="34.5" hidden="false" customHeight="true" outlineLevel="0" collapsed="false">
      <c r="A21" s="13" t="s">
        <v>49</v>
      </c>
      <c r="B21" s="13"/>
      <c r="C21" s="13"/>
      <c r="D21" s="14" t="n">
        <f aca="false">SUM(D22:D22)</f>
        <v>0.1</v>
      </c>
      <c r="E21" s="15"/>
      <c r="F21" s="16" t="n">
        <f aca="false">IF(COUNT(E22:E22)=1,SUM(F22:F22),"")</f>
        <v>0.05</v>
      </c>
      <c r="G21" s="15"/>
      <c r="H21" s="15"/>
      <c r="I21" s="16" t="n">
        <f aca="false">IF(COUNT(H22:H22)=1,SUM(I22:I22),"")</f>
        <v>0.075</v>
      </c>
      <c r="J21" s="15"/>
      <c r="K21" s="15"/>
      <c r="L21" s="16" t="n">
        <f aca="false">IF(COUNT(K22:K22)=1,SUM(L22:L22),"")</f>
        <v>0.1</v>
      </c>
      <c r="M21" s="15"/>
    </row>
    <row r="22" customFormat="false" ht="61.5" hidden="false" customHeight="true" outlineLevel="0" collapsed="false">
      <c r="A22" s="17" t="n">
        <v>2</v>
      </c>
      <c r="B22" s="18" t="n">
        <v>9</v>
      </c>
      <c r="C22" s="19" t="s">
        <v>50</v>
      </c>
      <c r="D22" s="20" t="n">
        <v>0.1</v>
      </c>
      <c r="E22" s="21" t="n">
        <v>5</v>
      </c>
      <c r="F22" s="22" t="n">
        <f aca="false">IF(ISNUMBER(E22),$D22*E22/10,"")</f>
        <v>0.05</v>
      </c>
      <c r="G22" s="23" t="s">
        <v>51</v>
      </c>
      <c r="H22" s="21" t="n">
        <v>7.5</v>
      </c>
      <c r="I22" s="24" t="n">
        <f aca="false">IF(ISNUMBER(H22),$D22*H22/10,"")</f>
        <v>0.075</v>
      </c>
      <c r="J22" s="25" t="s">
        <v>52</v>
      </c>
      <c r="K22" s="21" t="n">
        <v>10</v>
      </c>
      <c r="L22" s="26" t="n">
        <f aca="false">IF(ISNUMBER(K22),$D22*K22/10,"")</f>
        <v>0.1</v>
      </c>
      <c r="M22" s="27" t="s">
        <v>53</v>
      </c>
    </row>
    <row r="23" customFormat="false" ht="27.75" hidden="false" customHeight="true" outlineLevel="0" collapsed="false">
      <c r="A23" s="28" t="s">
        <v>54</v>
      </c>
      <c r="B23" s="28"/>
      <c r="C23" s="28"/>
      <c r="D23" s="29" t="n">
        <f aca="false">SUM(D10,D14,D18,D21)</f>
        <v>1</v>
      </c>
      <c r="E23" s="30"/>
      <c r="F23" s="31" t="n">
        <f aca="false">IF(ISNUMBER(E5),E5,"")</f>
        <v>0.7375</v>
      </c>
      <c r="G23" s="30"/>
      <c r="H23" s="30"/>
      <c r="I23" s="31" t="n">
        <f aca="false">IF(ISNUMBER(H5),H5,"")</f>
        <v>0.775</v>
      </c>
      <c r="J23" s="30"/>
      <c r="K23" s="30"/>
      <c r="L23" s="31" t="n">
        <f aca="false">IF(ISNUMBER(K5),K5,"")</f>
        <v>0.9125</v>
      </c>
      <c r="M23" s="30"/>
    </row>
    <row r="24" customFormat="false" ht="13.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customFormat="false" ht="25.5" hidden="false" customHeight="true" outlineLevel="0" collapsed="false">
      <c r="A25" s="32" t="s">
        <v>55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</row>
    <row r="26" customFormat="false" ht="25.5" hidden="false" customHeight="true" outlineLevel="0" collapsed="false">
      <c r="A26" s="3" t="s">
        <v>56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customFormat="false" ht="25.5" hidden="false" customHeight="true" outlineLevel="0" collapsed="false">
      <c r="A27" s="3" t="s">
        <v>57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customFormat="false" ht="25.5" hidden="false" customHeight="true" outlineLevel="0" collapsed="false">
      <c r="A28" s="3" t="s">
        <v>58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customFormat="false" ht="25.5" hidden="false" customHeight="true" outlineLevel="0" collapsed="false">
      <c r="A29" s="3" t="s">
        <v>59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customFormat="false" ht="25.5" hidden="false" customHeight="true" outlineLevel="0" collapsed="false">
      <c r="A30" s="32" t="s">
        <v>60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</row>
    <row r="31" customFormat="false" ht="25.5" hidden="false" customHeight="true" outlineLevel="0" collapsed="false">
      <c r="A31" s="3" t="s">
        <v>61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customFormat="false" ht="25.5" hidden="false" customHeight="true" outlineLevel="0" collapsed="false">
      <c r="A32" s="3" t="s">
        <v>62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customFormat="false" ht="25.5" hidden="false" customHeight="true" outlineLevel="0" collapsed="false">
      <c r="A33" s="3" t="s">
        <v>63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25.5" hidden="false" customHeight="true" outlineLevel="0" collapsed="false">
      <c r="A34" s="3" t="s">
        <v>64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customFormat="false" ht="25.5" hidden="false" customHeight="true" outlineLevel="0" collapsed="false">
      <c r="A35" s="3" t="s">
        <v>65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customFormat="false" ht="25.5" hidden="false" customHeight="true" outlineLevel="0" collapsed="false">
      <c r="A36" s="3" t="s">
        <v>66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3.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</sheetData>
  <mergeCells count="33">
    <mergeCell ref="A2:M2"/>
    <mergeCell ref="A3:M3"/>
    <mergeCell ref="A4:M4"/>
    <mergeCell ref="A5:D5"/>
    <mergeCell ref="E5:G5"/>
    <mergeCell ref="H5:J5"/>
    <mergeCell ref="K5:M5"/>
    <mergeCell ref="A6:D6"/>
    <mergeCell ref="E6:G6"/>
    <mergeCell ref="H6:J6"/>
    <mergeCell ref="K6:M6"/>
    <mergeCell ref="A7:D7"/>
    <mergeCell ref="E7:M7"/>
    <mergeCell ref="E8:G8"/>
    <mergeCell ref="H8:J8"/>
    <mergeCell ref="K8:M8"/>
    <mergeCell ref="A10:C10"/>
    <mergeCell ref="A14:C14"/>
    <mergeCell ref="A18:C18"/>
    <mergeCell ref="A21:C21"/>
    <mergeCell ref="A23:C23"/>
    <mergeCell ref="A25:M25"/>
    <mergeCell ref="A26:M26"/>
    <mergeCell ref="A27:M27"/>
    <mergeCell ref="A28:M28"/>
    <mergeCell ref="A29:M29"/>
    <mergeCell ref="A30:M30"/>
    <mergeCell ref="A31:M31"/>
    <mergeCell ref="A32:M32"/>
    <mergeCell ref="A33:M33"/>
    <mergeCell ref="A34:M34"/>
    <mergeCell ref="A35:M35"/>
    <mergeCell ref="A36:M36"/>
  </mergeCells>
  <dataValidations count="1">
    <dataValidation allowBlank="false" errorStyle="stop" operator="between" showDropDown="false" showErrorMessage="false" showInputMessage="false" sqref="E11:E13 H11:H13 K11:K13 E15:E17 H15:H17 K15:K17 E19:E20 H19:H20 K19:K20 E22 H22 K22" type="decimal">
      <formula1>0</formula1>
      <formula2>10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2026-10-23T15:21:05Z</dcterms:created>
  <dc:creator>openpyxl</dc:creator>
  <dc:description/>
  <dc:language>en-US</dc:language>
  <cp:lastModifiedBy>RAYANE ARÈMOU AKOREDE ALIMI</cp:lastModifiedBy>
  <dcterms:modified xsi:type="dcterms:W3CDTF">2026-10-23T15:21:05Z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