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yane\Downloads\"/>
    </mc:Choice>
  </mc:AlternateContent>
  <xr:revisionPtr revIDLastSave="0" documentId="13_ncr:1_{D9477E89-B08D-474E-8593-504ED3A744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7 Analyse rempl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L22" i="1"/>
  <c r="I22" i="1"/>
  <c r="F22" i="1"/>
  <c r="L21" i="1"/>
  <c r="I21" i="1"/>
  <c r="F21" i="1"/>
  <c r="D21" i="1"/>
  <c r="L20" i="1"/>
  <c r="I20" i="1"/>
  <c r="F20" i="1"/>
  <c r="L19" i="1"/>
  <c r="I19" i="1"/>
  <c r="F19" i="1"/>
  <c r="L18" i="1"/>
  <c r="I18" i="1"/>
  <c r="F18" i="1"/>
  <c r="D18" i="1"/>
  <c r="L17" i="1"/>
  <c r="I17" i="1"/>
  <c r="F17" i="1"/>
  <c r="L16" i="1"/>
  <c r="I16" i="1"/>
  <c r="F16" i="1"/>
  <c r="L15" i="1"/>
  <c r="I15" i="1"/>
  <c r="F15" i="1"/>
  <c r="L14" i="1"/>
  <c r="I14" i="1"/>
  <c r="F14" i="1"/>
  <c r="D14" i="1"/>
  <c r="L13" i="1"/>
  <c r="I13" i="1"/>
  <c r="F13" i="1"/>
  <c r="L12" i="1"/>
  <c r="I12" i="1"/>
  <c r="F12" i="1"/>
  <c r="L11" i="1"/>
  <c r="I11" i="1"/>
  <c r="F11" i="1"/>
  <c r="L10" i="1"/>
  <c r="I10" i="1"/>
  <c r="F10" i="1"/>
  <c r="D10" i="1"/>
  <c r="D23" i="1" s="1"/>
  <c r="K5" i="1"/>
  <c r="L23" i="1" s="1"/>
  <c r="H5" i="1"/>
  <c r="I23" i="1" s="1"/>
  <c r="E5" i="1"/>
  <c r="F23" i="1" l="1"/>
  <c r="K6" i="1"/>
  <c r="H6" i="1"/>
  <c r="E6" i="1"/>
</calcChain>
</file>

<file path=xl/sharedStrings.xml><?xml version="1.0" encoding="utf-8"?>
<sst xmlns="http://schemas.openxmlformats.org/spreadsheetml/2006/main" count="75" uniqueCount="67">
  <si>
    <t>Étape 5 — Analyse des solutions par caractéristiques voulues</t>
  </si>
  <si>
    <t>Lot L7 — Décider si un résidu traduit une anomalie, et dire avec quelle confiance</t>
  </si>
  <si>
    <t>Notes et poids repris de la section 5 du README. Évaluation de conception, sans résultats d’essais fournis.</t>
  </si>
  <si>
    <t>Score global pondéré</t>
  </si>
  <si>
    <t>Classement selon le README</t>
  </si>
  <si>
    <t>Solution préférée selon les notes</t>
  </si>
  <si>
    <t>A — Budget d’incertitude</t>
  </si>
  <si>
    <t>Priorité</t>
  </si>
  <si>
    <t>N°</t>
  </si>
  <si>
    <t>Critère de décision</t>
  </si>
  <si>
    <t>Poids</t>
  </si>
  <si>
    <t>Pointage /10</t>
  </si>
  <si>
    <t>Résultat pondéré</t>
  </si>
  <si>
    <t>Commentaires et justification</t>
  </si>
  <si>
    <t>Performance de détection et diagnostic</t>
  </si>
  <si>
    <t>Détection des dérives lentes et cyberattaques furtives</t>
  </si>
  <si>
    <t>Seuil instantané : faible dérive sous la limite non signalée. Note du README, à vérifier.</t>
  </si>
  <si>
    <t>Seuils instantanés : dérives sous les tolérances non signalées.</t>
  </si>
  <si>
    <t>Accumulation prévue pour faibles biais persistants. Sensibilité et horizon à mesurer.</t>
  </si>
  <si>
    <t>Temps de latence sur anomalie franche</t>
  </si>
  <si>
    <t>Comparaison à chaque pas; latence d’un pas supposée.</t>
  </si>
  <si>
    <t>Appariement à chaque pas; latence d’un pas supposée.</t>
  </si>
  <si>
    <t>Latence de 1 à 3 pas supposée par la note; à mesurer.</t>
  </si>
  <si>
    <t>Capacité d’isolation physique ou cyber capteur</t>
  </si>
  <si>
    <t>Localise la variable, sans attribution causale.</t>
  </si>
  <si>
    <t>Signatures prévues pour proposer une origine. La distinction panne/cyber reste à démontrer.</t>
  </si>
  <si>
    <t>Variable et estimation du début de dérive; pas d’isolation causale seule.</t>
  </si>
  <si>
    <t>Fiabilité et quantification de la confiance</t>
  </si>
  <si>
    <t>Rigueur de l’indice de confiance</t>
  </si>
  <si>
    <t>Couverture métrologique; différente d’une probabilité de diagnostic correct.</t>
  </si>
  <si>
    <t>Score de concordance; ce pourcentage n’est pas une probabilité calibrée.</t>
  </si>
  <si>
    <t>Note du README. Les garanties annoncées et la jauge de confiance restent à justifier.</t>
  </si>
  <si>
    <t>Taux de fausses alertes en régime bruité</t>
  </si>
  <si>
    <t>Note correspondant à 0,1 % &lt; taux ≤ 1 %, non mesuré dans le README.</t>
  </si>
  <si>
    <t>Note correspondant à 1 % &lt; taux ≤ 5 %, non mesuré dans le README.</t>
  </si>
  <si>
    <t>Note correspondant à taux ≤ 0,1 %, non mesuré dans le README.</t>
  </si>
  <si>
    <t>Gestion des données invalides ou manquantes</t>
  </si>
  <si>
    <t>État Incertain et suspension prévus si budget ou données invalides.</t>
  </si>
  <si>
    <t>État Incertain prévu si le vecteur de résidus est incomplet.</t>
  </si>
  <si>
    <t>État Incertain prévu lors d’une rupture de continuité.</t>
  </si>
  <si>
    <t>Sûreté de conduite et explicabilité</t>
  </si>
  <si>
    <t>Non-ingérence sur le contrôle de la boucle</t>
  </si>
  <si>
    <t>Aide passive à l’opérateur prévue; aucune commande directe.</t>
  </si>
  <si>
    <t>Clarté et justification du résultat à l’interface</t>
  </si>
  <si>
    <t>Résidu, limite et conditions de validité prévus.</t>
  </si>
  <si>
    <t>Signature et hypothèse d’origine expliquées; origine non prouvée.</t>
  </si>
  <si>
    <t>Progression, seuil et estimation du début; présentation de la confiance à préciser.</t>
  </si>
  <si>
    <t>Simplicité d’implantation et calibration</t>
  </si>
  <si>
    <t>Effort de paramétrage et d’implantation</t>
  </si>
  <si>
    <t>Budget et corrélations jugés complexes; inventaire des paramètres à confirmer.</t>
  </si>
  <si>
    <t>Table de signatures et seuils; effort réel à estimer.</t>
  </si>
  <si>
    <t>Calcul récursif jugé simple; inclure aussi le modèle statistique et sa calibration.</t>
  </si>
  <si>
    <t>TOTAL</t>
  </si>
  <si>
    <t>Utilisation et provenance</t>
  </si>
  <si>
    <t>Source : lot_l7_detection_anomalies_concepts.md, section 5. Mise en page inspirée de image(7).png. Notes et pondérations conservées.</t>
  </si>
  <si>
    <t>Calcul : contribution = poids × pointage / 10. Conversion : 100 % = 10; 75 % = 7,5; 50 % = 5; 25 % = 2,5.</t>
  </si>
  <si>
    <t>Priorités proposées : 1 pour poids 15 %, 2 pour poids 10 %, 3 pour poids 5 %. Elles ne multiplient pas le score. Cellules jaunes modifiables.</t>
  </si>
  <si>
    <t>Le classement reproduit l’analyse du README : il ne démontre ni les performances du prototype ni la conformité aux normes citées.</t>
  </si>
  <si>
    <t>Points à valider avant sélection définitive</t>
  </si>
  <si>
    <t>Fausses alertes et latence : les valeurs sont des hypothèses de notation. Fixer les scénarios, l’horizon et la méthode de mesure avant les essais.</t>
  </si>
  <si>
    <t>Concept B : la capacité à distinguer une panne physique d’une attaque reste à démontrer; le README reconnaît le cas des falsifications coordonnées.</t>
  </si>
  <si>
    <t>Concept C : le README associe SPRT et CUSUM. Justifier le test retenu et ses seuils avant de présenter les risques annoncés comme garantis.</t>
  </si>
  <si>
    <t>Confiance : une couverture, une concordance et une progression d’accumulateur ne sont pas des probabilités interchangeables de diagnostic correct.</t>
  </si>
  <si>
    <t>Barème à clarifier : la ligne sur les dérives comporte des intervalles incomplets ou chevauchants; la durée d’observation doit aussi être définie.</t>
  </si>
  <si>
    <t>Admissibilité : contrôler séparément les conditions de rejet du README. Un score élevé ne compense pas une condition éliminatoire non respectée.</t>
  </si>
  <si>
    <t>B— Décision séquentielle</t>
  </si>
  <si>
    <t>C— Décision par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</si>
</sst>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Carlito"/>
    </font>
    <font>
      <sz val="11"/>
      <name val="Arial"/>
    </font>
    <font>
      <b/>
      <sz val="17"/>
      <name val="Arial"/>
    </font>
    <font>
      <i/>
      <sz val="11"/>
      <color rgb="FF785B16"/>
      <name val="Arial"/>
    </font>
    <font>
      <b/>
      <sz val="11"/>
      <name val="Arial"/>
    </font>
    <font>
      <b/>
      <sz val="11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EAF0DB"/>
      </patternFill>
    </fill>
    <fill>
      <patternFill patternType="solid">
        <fgColor rgb="FFEEE7D2"/>
      </patternFill>
    </fill>
    <fill>
      <patternFill patternType="solid">
        <fgColor rgb="FFDCEEF2"/>
      </patternFill>
    </fill>
    <fill>
      <patternFill patternType="solid">
        <fgColor rgb="FFFFF2CC"/>
      </patternFill>
    </fill>
    <fill>
      <patternFill patternType="solid">
        <fgColor rgb="FFD9DDE2"/>
      </patternFill>
    </fill>
    <fill>
      <patternFill patternType="solid">
        <fgColor rgb="FF132F4D"/>
      </patternFill>
    </fill>
  </fills>
  <borders count="2">
    <border>
      <left/>
      <right/>
      <top/>
      <bottom/>
      <diagonal/>
    </border>
    <border>
      <left style="thin">
        <color rgb="FFCAD0D8"/>
      </left>
      <right style="thin">
        <color rgb="FFCAD0D8"/>
      </right>
      <top style="thin">
        <color rgb="FFCAD0D8"/>
      </top>
      <bottom style="thin">
        <color rgb="FFCAD0D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9" fontId="4" fillId="6" borderId="1" xfId="0" applyNumberFormat="1" applyFont="1" applyFill="1" applyBorder="1" applyAlignment="1">
      <alignment vertical="center" wrapText="1"/>
    </xf>
    <xf numFmtId="10" fontId="4" fillId="6" borderId="1" xfId="0" applyNumberFormat="1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9" fontId="1" fillId="5" borderId="1" xfId="0" applyNumberFormat="1" applyFont="1" applyFill="1" applyBorder="1" applyAlignment="1">
      <alignment vertical="center" wrapText="1"/>
    </xf>
    <xf numFmtId="164" fontId="1" fillId="5" borderId="1" xfId="0" applyNumberFormat="1" applyFont="1" applyFill="1" applyBorder="1" applyAlignment="1">
      <alignment vertical="center" wrapText="1"/>
    </xf>
    <xf numFmtId="10" fontId="1" fillId="2" borderId="1" xfId="0" applyNumberFormat="1" applyFont="1" applyFill="1" applyBorder="1" applyAlignment="1">
      <alignment vertical="center" wrapText="1"/>
    </xf>
    <xf numFmtId="10" fontId="1" fillId="3" borderId="1" xfId="0" applyNumberFormat="1" applyFont="1" applyFill="1" applyBorder="1" applyAlignment="1">
      <alignment vertical="center" wrapText="1"/>
    </xf>
    <xf numFmtId="10" fontId="1" fillId="4" borderId="1" xfId="0" applyNumberFormat="1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9" fontId="5" fillId="7" borderId="1" xfId="0" applyNumberFormat="1" applyFont="1" applyFill="1" applyBorder="1" applyAlignment="1">
      <alignment vertical="center" wrapText="1"/>
    </xf>
    <xf numFmtId="10" fontId="5" fillId="7" borderId="1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10" fontId="1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showGridLines="0" tabSelected="1" workbookViewId="0">
      <selection activeCell="A7" sqref="A7:D7"/>
    </sheetView>
  </sheetViews>
  <sheetFormatPr baseColWidth="10" defaultColWidth="8.796875" defaultRowHeight="13.8"/>
  <cols>
    <col min="1" max="1" width="9" customWidth="1"/>
    <col min="2" max="2" width="5" customWidth="1"/>
    <col min="3" max="3" width="35" customWidth="1"/>
    <col min="4" max="4" width="9" customWidth="1"/>
    <col min="5" max="5" width="12" customWidth="1"/>
    <col min="6" max="6" width="14" customWidth="1"/>
    <col min="7" max="7" width="42" customWidth="1"/>
    <col min="8" max="8" width="12" customWidth="1"/>
    <col min="9" max="9" width="14" customWidth="1"/>
    <col min="10" max="10" width="42" customWidth="1"/>
    <col min="11" max="11" width="12" customWidth="1"/>
    <col min="12" max="12" width="14" customWidth="1"/>
    <col min="13" max="13" width="42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5.95" customHeight="1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25.95" customHeight="1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25.95" customHeight="1">
      <c r="A4" s="21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 ht="25.05" customHeight="1">
      <c r="A5" s="20" t="s">
        <v>3</v>
      </c>
      <c r="B5" s="20"/>
      <c r="C5" s="20"/>
      <c r="D5" s="20"/>
      <c r="E5" s="23">
        <f>IF(COUNT(E11,E12,E13,E15,E16,E17,E19,E20,E22)=9,SUM(F10,F14,F18,F21),"")</f>
        <v>0.73750000000000004</v>
      </c>
      <c r="F5" s="20"/>
      <c r="G5" s="20"/>
      <c r="H5" s="23">
        <f>IF(COUNT(H11,H12,H13,H15,H16,H17,H19,H20,H22)=9,SUM(I10,I14,I18,I21),"")</f>
        <v>0.77499999999999991</v>
      </c>
      <c r="I5" s="20"/>
      <c r="J5" s="20"/>
      <c r="K5" s="23">
        <f>IF(COUNT(K11,K12,K13,K15,K16,K17,K19,K20,K22)=9,SUM(L10,L14,L18,L21),"")</f>
        <v>0.91249999999999998</v>
      </c>
      <c r="L5" s="20"/>
      <c r="M5" s="20"/>
    </row>
    <row r="6" spans="1:13" ht="25.05" customHeight="1">
      <c r="A6" s="20" t="s">
        <v>4</v>
      </c>
      <c r="B6" s="20"/>
      <c r="C6" s="20"/>
      <c r="D6" s="20"/>
      <c r="E6" s="20">
        <f>IF(COUNT(E5,H5,K5)&lt;3,"À compléter",1+IF(E5&gt;E5,1,0)+IF(H5&gt;E5,1,0)+IF(K5&gt;E5,1,0))</f>
        <v>3</v>
      </c>
      <c r="F6" s="20"/>
      <c r="G6" s="20"/>
      <c r="H6" s="20">
        <f>IF(COUNT(E5,H5,K5)&lt;3,"À compléter",1+IF(E5&gt;H5,1,0)+IF(H5&gt;H5,1,0)+IF(K5&gt;H5,1,0))</f>
        <v>2</v>
      </c>
      <c r="I6" s="20"/>
      <c r="J6" s="20"/>
      <c r="K6" s="20">
        <f>IF(COUNT(E5,H5,K5)&lt;3,"À compléter",1+IF(E5&gt;K5,1,0)+IF(H5&gt;K5,1,0)+IF(K5&gt;K5,1,0))</f>
        <v>1</v>
      </c>
      <c r="L6" s="20"/>
      <c r="M6" s="20"/>
    </row>
    <row r="7" spans="1:13" ht="25.05" customHeight="1">
      <c r="A7" s="20" t="s">
        <v>5</v>
      </c>
      <c r="B7" s="20"/>
      <c r="C7" s="20"/>
      <c r="D7" s="20"/>
      <c r="E7" s="20" t="str">
        <f>IF(COUNT(E5,H5,K5)&lt;3,"Notes à compléter",IF(COUNTIF(E5,E5)+COUNTIF(H5,E5)+COUNTIF(K5,E5)&gt;1,IF(E5=MAX(E5,H5,K5),"Ex æquo",IF(H5&gt;K5,"B — Signature","C — Séquentielle")),IF(E5=MAX(E5,H5,K5),"A — Budget d’incertitude",IF(H5=K5,"Ex æquo",IF(H5&gt;K5,"B — Signature","B — Séquentielle")))))</f>
        <v>B — Séquentielle</v>
      </c>
      <c r="F7" s="20"/>
      <c r="G7" s="20"/>
      <c r="H7" s="20"/>
      <c r="I7" s="20"/>
      <c r="J7" s="20"/>
      <c r="K7" s="20"/>
      <c r="L7" s="20"/>
      <c r="M7" s="20"/>
    </row>
    <row r="8" spans="1:13" ht="25.05" customHeight="1">
      <c r="A8" s="2"/>
      <c r="B8" s="2"/>
      <c r="C8" s="2"/>
      <c r="D8" s="2"/>
      <c r="E8" s="22" t="s">
        <v>6</v>
      </c>
      <c r="F8" s="22"/>
      <c r="G8" s="22"/>
      <c r="H8" s="24" t="s">
        <v>66</v>
      </c>
      <c r="I8" s="24"/>
      <c r="J8" s="24"/>
      <c r="K8" s="25" t="s">
        <v>65</v>
      </c>
      <c r="L8" s="25"/>
      <c r="M8" s="25"/>
    </row>
    <row r="9" spans="1:13" ht="34.950000000000003" customHeight="1">
      <c r="A9" s="16" t="s">
        <v>7</v>
      </c>
      <c r="B9" s="16" t="s">
        <v>8</v>
      </c>
      <c r="C9" s="16" t="s">
        <v>9</v>
      </c>
      <c r="D9" s="16" t="s">
        <v>10</v>
      </c>
      <c r="E9" s="16" t="s">
        <v>11</v>
      </c>
      <c r="F9" s="16" t="s">
        <v>12</v>
      </c>
      <c r="G9" s="16" t="s">
        <v>13</v>
      </c>
      <c r="H9" s="16" t="s">
        <v>11</v>
      </c>
      <c r="I9" s="16" t="s">
        <v>12</v>
      </c>
      <c r="J9" s="16" t="s">
        <v>13</v>
      </c>
      <c r="K9" s="16" t="s">
        <v>11</v>
      </c>
      <c r="L9" s="16" t="s">
        <v>12</v>
      </c>
      <c r="M9" s="16" t="s">
        <v>13</v>
      </c>
    </row>
    <row r="10" spans="1:13" ht="34.950000000000003" customHeight="1">
      <c r="A10" s="26" t="s">
        <v>14</v>
      </c>
      <c r="B10" s="26"/>
      <c r="C10" s="26"/>
      <c r="D10" s="8">
        <f>SUM(D11:D13)</f>
        <v>0.4</v>
      </c>
      <c r="E10" s="7"/>
      <c r="F10" s="9">
        <f>IF(COUNT(E11:E13)=3,SUM(F11:F13),"")</f>
        <v>0.27499999999999997</v>
      </c>
      <c r="G10" s="7"/>
      <c r="H10" s="7"/>
      <c r="I10" s="9">
        <f>IF(COUNT(H11:H13)=3,SUM(I11:I13),"")</f>
        <v>0.32499999999999996</v>
      </c>
      <c r="J10" s="7"/>
      <c r="K10" s="7"/>
      <c r="L10" s="9">
        <f>IF(COUNT(K11:K13)=3,SUM(L11:L13),"")</f>
        <v>0.33750000000000002</v>
      </c>
      <c r="M10" s="7"/>
    </row>
    <row r="11" spans="1:13" ht="61.95" customHeight="1">
      <c r="A11" s="10">
        <v>1</v>
      </c>
      <c r="B11" s="3">
        <v>1</v>
      </c>
      <c r="C11" s="3" t="s">
        <v>15</v>
      </c>
      <c r="D11" s="11">
        <v>0.15</v>
      </c>
      <c r="E11" s="12">
        <v>5</v>
      </c>
      <c r="F11" s="13">
        <f>IF(ISNUMBER(E11),$D11*E11/10,"")</f>
        <v>7.4999999999999997E-2</v>
      </c>
      <c r="G11" s="4" t="s">
        <v>16</v>
      </c>
      <c r="H11" s="12">
        <v>5</v>
      </c>
      <c r="I11" s="14">
        <f>IF(ISNUMBER(H11),$D11*H11/10,"")</f>
        <v>7.4999999999999997E-2</v>
      </c>
      <c r="J11" s="5" t="s">
        <v>17</v>
      </c>
      <c r="K11" s="12">
        <v>10</v>
      </c>
      <c r="L11" s="15">
        <f>IF(ISNUMBER(K11),$D11*K11/10,"")</f>
        <v>0.15</v>
      </c>
      <c r="M11" s="6" t="s">
        <v>18</v>
      </c>
    </row>
    <row r="12" spans="1:13" ht="61.95" customHeight="1">
      <c r="A12" s="10">
        <v>1</v>
      </c>
      <c r="B12" s="3">
        <v>2</v>
      </c>
      <c r="C12" s="3" t="s">
        <v>19</v>
      </c>
      <c r="D12" s="11">
        <v>0.15</v>
      </c>
      <c r="E12" s="12">
        <v>10</v>
      </c>
      <c r="F12" s="13">
        <f>IF(ISNUMBER(E12),$D12*E12/10,"")</f>
        <v>0.15</v>
      </c>
      <c r="G12" s="4" t="s">
        <v>20</v>
      </c>
      <c r="H12" s="12">
        <v>10</v>
      </c>
      <c r="I12" s="14">
        <f>IF(ISNUMBER(H12),$D12*H12/10,"")</f>
        <v>0.15</v>
      </c>
      <c r="J12" s="5" t="s">
        <v>21</v>
      </c>
      <c r="K12" s="12">
        <v>7.5</v>
      </c>
      <c r="L12" s="15">
        <f>IF(ISNUMBER(K12),$D12*K12/10,"")</f>
        <v>0.1125</v>
      </c>
      <c r="M12" s="6" t="s">
        <v>22</v>
      </c>
    </row>
    <row r="13" spans="1:13" ht="61.95" customHeight="1">
      <c r="A13" s="10">
        <v>2</v>
      </c>
      <c r="B13" s="3">
        <v>3</v>
      </c>
      <c r="C13" s="3" t="s">
        <v>23</v>
      </c>
      <c r="D13" s="11">
        <v>0.1</v>
      </c>
      <c r="E13" s="12">
        <v>5</v>
      </c>
      <c r="F13" s="13">
        <f>IF(ISNUMBER(E13),$D13*E13/10,"")</f>
        <v>0.05</v>
      </c>
      <c r="G13" s="4" t="s">
        <v>24</v>
      </c>
      <c r="H13" s="12">
        <v>10</v>
      </c>
      <c r="I13" s="14">
        <f>IF(ISNUMBER(H13),$D13*H13/10,"")</f>
        <v>0.1</v>
      </c>
      <c r="J13" s="5" t="s">
        <v>25</v>
      </c>
      <c r="K13" s="12">
        <v>7.5</v>
      </c>
      <c r="L13" s="15">
        <f>IF(ISNUMBER(K13),$D13*K13/10,"")</f>
        <v>7.4999999999999997E-2</v>
      </c>
      <c r="M13" s="6" t="s">
        <v>26</v>
      </c>
    </row>
    <row r="14" spans="1:13" ht="34.950000000000003" customHeight="1">
      <c r="A14" s="26" t="s">
        <v>27</v>
      </c>
      <c r="B14" s="26"/>
      <c r="C14" s="26"/>
      <c r="D14" s="8">
        <f>SUM(D15:D17)</f>
        <v>0.35</v>
      </c>
      <c r="E14" s="7"/>
      <c r="F14" s="9">
        <f>IF(COUNT(E15:E17)=3,SUM(F15:F17),"")</f>
        <v>0.28749999999999998</v>
      </c>
      <c r="G14" s="7"/>
      <c r="H14" s="7"/>
      <c r="I14" s="9">
        <f>IF(COUNT(H15:H17)=3,SUM(I15:I17),"")</f>
        <v>0.22500000000000001</v>
      </c>
      <c r="J14" s="7"/>
      <c r="K14" s="7"/>
      <c r="L14" s="9">
        <f>IF(COUNT(K15:K17)=3,SUM(L15:L17),"")</f>
        <v>0.35</v>
      </c>
      <c r="M14" s="7"/>
    </row>
    <row r="15" spans="1:13" ht="61.95" customHeight="1">
      <c r="A15" s="10">
        <v>1</v>
      </c>
      <c r="B15" s="3">
        <v>4</v>
      </c>
      <c r="C15" s="3" t="s">
        <v>28</v>
      </c>
      <c r="D15" s="11">
        <v>0.15</v>
      </c>
      <c r="E15" s="12">
        <v>7.5</v>
      </c>
      <c r="F15" s="13">
        <f>IF(ISNUMBER(E15),$D15*E15/10,"")</f>
        <v>0.1125</v>
      </c>
      <c r="G15" s="4" t="s">
        <v>29</v>
      </c>
      <c r="H15" s="12">
        <v>5</v>
      </c>
      <c r="I15" s="14">
        <f>IF(ISNUMBER(H15),$D15*H15/10,"")</f>
        <v>7.4999999999999997E-2</v>
      </c>
      <c r="J15" s="5" t="s">
        <v>30</v>
      </c>
      <c r="K15" s="12">
        <v>10</v>
      </c>
      <c r="L15" s="15">
        <f>IF(ISNUMBER(K15),$D15*K15/10,"")</f>
        <v>0.15</v>
      </c>
      <c r="M15" s="6" t="s">
        <v>31</v>
      </c>
    </row>
    <row r="16" spans="1:13" ht="61.95" customHeight="1">
      <c r="A16" s="10">
        <v>2</v>
      </c>
      <c r="B16" s="3">
        <v>5</v>
      </c>
      <c r="C16" s="3" t="s">
        <v>32</v>
      </c>
      <c r="D16" s="11">
        <v>0.1</v>
      </c>
      <c r="E16" s="12">
        <v>7.5</v>
      </c>
      <c r="F16" s="13">
        <f>IF(ISNUMBER(E16),$D16*E16/10,"")</f>
        <v>7.4999999999999997E-2</v>
      </c>
      <c r="G16" s="4" t="s">
        <v>33</v>
      </c>
      <c r="H16" s="12">
        <v>5</v>
      </c>
      <c r="I16" s="14">
        <f>IF(ISNUMBER(H16),$D16*H16/10,"")</f>
        <v>0.05</v>
      </c>
      <c r="J16" s="5" t="s">
        <v>34</v>
      </c>
      <c r="K16" s="12">
        <v>10</v>
      </c>
      <c r="L16" s="15">
        <f>IF(ISNUMBER(K16),$D16*K16/10,"")</f>
        <v>0.1</v>
      </c>
      <c r="M16" s="6" t="s">
        <v>35</v>
      </c>
    </row>
    <row r="17" spans="1:13" ht="61.95" customHeight="1">
      <c r="A17" s="10">
        <v>2</v>
      </c>
      <c r="B17" s="3">
        <v>6</v>
      </c>
      <c r="C17" s="3" t="s">
        <v>36</v>
      </c>
      <c r="D17" s="11">
        <v>0.1</v>
      </c>
      <c r="E17" s="12">
        <v>10</v>
      </c>
      <c r="F17" s="13">
        <f>IF(ISNUMBER(E17),$D17*E17/10,"")</f>
        <v>0.1</v>
      </c>
      <c r="G17" s="4" t="s">
        <v>37</v>
      </c>
      <c r="H17" s="12">
        <v>10</v>
      </c>
      <c r="I17" s="14">
        <f>IF(ISNUMBER(H17),$D17*H17/10,"")</f>
        <v>0.1</v>
      </c>
      <c r="J17" s="5" t="s">
        <v>38</v>
      </c>
      <c r="K17" s="12">
        <v>10</v>
      </c>
      <c r="L17" s="15">
        <f>IF(ISNUMBER(K17),$D17*K17/10,"")</f>
        <v>0.1</v>
      </c>
      <c r="M17" s="6" t="s">
        <v>39</v>
      </c>
    </row>
    <row r="18" spans="1:13" ht="34.950000000000003" customHeight="1">
      <c r="A18" s="26" t="s">
        <v>40</v>
      </c>
      <c r="B18" s="26"/>
      <c r="C18" s="26"/>
      <c r="D18" s="8">
        <f>SUM(D19:D20)</f>
        <v>0.15000000000000002</v>
      </c>
      <c r="E18" s="7"/>
      <c r="F18" s="9">
        <f>IF(COUNT(E19:E20)=2,SUM(F19:F20),"")</f>
        <v>0.125</v>
      </c>
      <c r="G18" s="7"/>
      <c r="H18" s="7"/>
      <c r="I18" s="9">
        <f>IF(COUNT(H19:H20)=2,SUM(I19:I20),"")</f>
        <v>0.15000000000000002</v>
      </c>
      <c r="J18" s="7"/>
      <c r="K18" s="7"/>
      <c r="L18" s="9">
        <f>IF(COUNT(K19:K20)=2,SUM(L19:L20),"")</f>
        <v>0.125</v>
      </c>
      <c r="M18" s="7"/>
    </row>
    <row r="19" spans="1:13" ht="61.95" customHeight="1">
      <c r="A19" s="10">
        <v>3</v>
      </c>
      <c r="B19" s="3">
        <v>7</v>
      </c>
      <c r="C19" s="3" t="s">
        <v>41</v>
      </c>
      <c r="D19" s="11">
        <v>0.05</v>
      </c>
      <c r="E19" s="12">
        <v>10</v>
      </c>
      <c r="F19" s="13">
        <f>IF(ISNUMBER(E19),$D19*E19/10,"")</f>
        <v>0.05</v>
      </c>
      <c r="G19" s="4" t="s">
        <v>42</v>
      </c>
      <c r="H19" s="12">
        <v>10</v>
      </c>
      <c r="I19" s="14">
        <f>IF(ISNUMBER(H19),$D19*H19/10,"")</f>
        <v>0.05</v>
      </c>
      <c r="J19" s="5" t="s">
        <v>42</v>
      </c>
      <c r="K19" s="12">
        <v>10</v>
      </c>
      <c r="L19" s="15">
        <f>IF(ISNUMBER(K19),$D19*K19/10,"")</f>
        <v>0.05</v>
      </c>
      <c r="M19" s="6" t="s">
        <v>42</v>
      </c>
    </row>
    <row r="20" spans="1:13" ht="61.95" customHeight="1">
      <c r="A20" s="10">
        <v>2</v>
      </c>
      <c r="B20" s="3">
        <v>8</v>
      </c>
      <c r="C20" s="3" t="s">
        <v>43</v>
      </c>
      <c r="D20" s="11">
        <v>0.1</v>
      </c>
      <c r="E20" s="12">
        <v>7.5</v>
      </c>
      <c r="F20" s="13">
        <f>IF(ISNUMBER(E20),$D20*E20/10,"")</f>
        <v>7.4999999999999997E-2</v>
      </c>
      <c r="G20" s="4" t="s">
        <v>44</v>
      </c>
      <c r="H20" s="12">
        <v>10</v>
      </c>
      <c r="I20" s="14">
        <f>IF(ISNUMBER(H20),$D20*H20/10,"")</f>
        <v>0.1</v>
      </c>
      <c r="J20" s="5" t="s">
        <v>45</v>
      </c>
      <c r="K20" s="12">
        <v>7.5</v>
      </c>
      <c r="L20" s="15">
        <f>IF(ISNUMBER(K20),$D20*K20/10,"")</f>
        <v>7.4999999999999997E-2</v>
      </c>
      <c r="M20" s="6" t="s">
        <v>46</v>
      </c>
    </row>
    <row r="21" spans="1:13" ht="34.950000000000003" customHeight="1">
      <c r="A21" s="26" t="s">
        <v>47</v>
      </c>
      <c r="B21" s="26"/>
      <c r="C21" s="26"/>
      <c r="D21" s="8">
        <f>SUM(D22:D22)</f>
        <v>0.1</v>
      </c>
      <c r="E21" s="7"/>
      <c r="F21" s="9">
        <f>IF(COUNT(E22:E22)=1,SUM(F22:F22),"")</f>
        <v>0.05</v>
      </c>
      <c r="G21" s="7"/>
      <c r="H21" s="7"/>
      <c r="I21" s="9">
        <f>IF(COUNT(H22:H22)=1,SUM(I22:I22),"")</f>
        <v>7.4999999999999997E-2</v>
      </c>
      <c r="J21" s="7"/>
      <c r="K21" s="7"/>
      <c r="L21" s="9">
        <f>IF(COUNT(K22:K22)=1,SUM(L22:L22),"")</f>
        <v>0.1</v>
      </c>
      <c r="M21" s="7"/>
    </row>
    <row r="22" spans="1:13" ht="61.95" customHeight="1">
      <c r="A22" s="10">
        <v>2</v>
      </c>
      <c r="B22" s="3">
        <v>9</v>
      </c>
      <c r="C22" s="3" t="s">
        <v>48</v>
      </c>
      <c r="D22" s="11">
        <v>0.1</v>
      </c>
      <c r="E22" s="12">
        <v>5</v>
      </c>
      <c r="F22" s="13">
        <f>IF(ISNUMBER(E22),$D22*E22/10,"")</f>
        <v>0.05</v>
      </c>
      <c r="G22" s="4" t="s">
        <v>49</v>
      </c>
      <c r="H22" s="12">
        <v>7.5</v>
      </c>
      <c r="I22" s="14">
        <f>IF(ISNUMBER(H22),$D22*H22/10,"")</f>
        <v>7.4999999999999997E-2</v>
      </c>
      <c r="J22" s="5" t="s">
        <v>50</v>
      </c>
      <c r="K22" s="12">
        <v>10</v>
      </c>
      <c r="L22" s="15">
        <f>IF(ISNUMBER(K22),$D22*K22/10,"")</f>
        <v>0.1</v>
      </c>
      <c r="M22" s="6" t="s">
        <v>51</v>
      </c>
    </row>
    <row r="23" spans="1:13" ht="28.05" customHeight="1">
      <c r="A23" s="27" t="s">
        <v>52</v>
      </c>
      <c r="B23" s="27"/>
      <c r="C23" s="27"/>
      <c r="D23" s="17">
        <f>SUM(D10,D14,D18,D21)</f>
        <v>1</v>
      </c>
      <c r="E23" s="16"/>
      <c r="F23" s="18">
        <f>IF(ISNUMBER(E5),E5,"")</f>
        <v>0.73750000000000004</v>
      </c>
      <c r="G23" s="16"/>
      <c r="H23" s="16"/>
      <c r="I23" s="18">
        <f>IF(ISNUMBER(H5),H5,"")</f>
        <v>0.77499999999999991</v>
      </c>
      <c r="J23" s="16"/>
      <c r="K23" s="16"/>
      <c r="L23" s="18">
        <f>IF(ISNUMBER(K5),K5,"")</f>
        <v>0.91249999999999998</v>
      </c>
      <c r="M23" s="16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5.95" customHeight="1">
      <c r="A25" s="28" t="s">
        <v>53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spans="1:13" ht="25.95" customHeight="1">
      <c r="A26" s="20" t="s">
        <v>54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spans="1:13" ht="25.95" customHeight="1">
      <c r="A27" s="20" t="s">
        <v>55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spans="1:13" ht="25.95" customHeight="1">
      <c r="A28" s="20" t="s">
        <v>56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spans="1:13" ht="25.95" customHeight="1">
      <c r="A29" s="20" t="s">
        <v>57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spans="1:13" ht="25.95" customHeight="1">
      <c r="A30" s="28" t="s">
        <v>58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spans="1:13" ht="25.95" customHeight="1">
      <c r="A31" s="20" t="s">
        <v>59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spans="1:13" ht="25.95" customHeight="1">
      <c r="A32" s="20" t="s">
        <v>60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spans="1:13" ht="25.95" customHeight="1">
      <c r="A33" s="20" t="s">
        <v>61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spans="1:13" ht="25.95" customHeight="1">
      <c r="A34" s="20" t="s">
        <v>62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spans="1:13" ht="25.95" customHeight="1">
      <c r="A35" s="20" t="s">
        <v>63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 spans="1:13" ht="25.95" customHeight="1">
      <c r="A36" s="20" t="s">
        <v>64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</sheetData>
  <mergeCells count="33">
    <mergeCell ref="A35:M35"/>
    <mergeCell ref="A36:M36"/>
    <mergeCell ref="A30:M30"/>
    <mergeCell ref="A31:M31"/>
    <mergeCell ref="A32:M32"/>
    <mergeCell ref="A33:M33"/>
    <mergeCell ref="A34:M34"/>
    <mergeCell ref="A25:M25"/>
    <mergeCell ref="A26:M26"/>
    <mergeCell ref="A27:M27"/>
    <mergeCell ref="A28:M28"/>
    <mergeCell ref="A29:M29"/>
    <mergeCell ref="A10:C10"/>
    <mergeCell ref="A14:C14"/>
    <mergeCell ref="A18:C18"/>
    <mergeCell ref="A21:C21"/>
    <mergeCell ref="A23:C23"/>
    <mergeCell ref="A7:D7"/>
    <mergeCell ref="E7:M7"/>
    <mergeCell ref="E8:G8"/>
    <mergeCell ref="E5:G5"/>
    <mergeCell ref="E6:G6"/>
    <mergeCell ref="H8:J8"/>
    <mergeCell ref="H5:J5"/>
    <mergeCell ref="H6:J6"/>
    <mergeCell ref="K8:M8"/>
    <mergeCell ref="K5:M5"/>
    <mergeCell ref="K6:M6"/>
    <mergeCell ref="A2:M2"/>
    <mergeCell ref="A3:M3"/>
    <mergeCell ref="A4:M4"/>
    <mergeCell ref="A5:D5"/>
    <mergeCell ref="A6:D6"/>
  </mergeCells>
  <dataValidations count="1">
    <dataValidation type="decimal" sqref="K22 H22 E22 K19:K20 H19:H20 E19:E20 K15:K17 H15:H17 E15:E17 E11:E13 K11:K13 H11:H13" xr:uid="{00000000-0002-0000-0000-00000000000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L7 Analyse remplie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RAYANE ARÈMOU AKOREDE ALIMI</cp:lastModifiedBy>
  <dcterms:modified xsi:type="dcterms:W3CDTF">2026-10-22T15:58:51Z</dcterms:modified>
</cp:coreProperties>
</file>