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d1e85d2fe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élection SS3" sheetId="1" r:id="Rb3e91cec049b4633"/>
    <x:sheet xmlns:r="http://schemas.openxmlformats.org/officeDocument/2006/relationships" name="Grille détaillée" sheetId="2" r:id="Rad9d1965b7f047fa"/>
    <x:sheet xmlns:r="http://schemas.openxmlformats.org/officeDocument/2006/relationships" name="Justifications ABC" sheetId="3" r:id="Rcc9d6bbcaa2c4731"/>
    <x:sheet xmlns:r="http://schemas.openxmlformats.org/officeDocument/2006/relationships" name="Synthèse concepts" sheetId="4" r:id="Rd0ea14257f55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%"/>
    <x:numFmt numFmtId="202" formatCode="0.00"/>
    <x:numFmt numFmtId="203" formatCode="0.0"/>
  </x:numFmts>
  <x:fonts count="8">
    <x:font>
      <x:sz val="11"/>
      <x:name val="Carlito"/>
    </x:font>
    <x:font>
      <x:b/>
      <x:sz val="18"/>
      <x:name val="Carlito"/>
    </x:font>
    <x:font>
      <x:b/>
      <x:sz val="11"/>
      <x:name val="Carlito"/>
    </x:font>
    <x:font>
      <x:i/>
      <x:sz val="9"/>
      <x:color rgb="FF7A1F1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sz val="9"/>
      <x:name val="Carlito"/>
    </x:font>
    <x:font>
      <x:b/>
      <x:sz val="15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DD"/>
      </x:patternFill>
    </x:fill>
    <x:fill>
      <x:patternFill patternType="solid">
        <x:fgColor rgb="FFDDD3AD"/>
      </x:patternFill>
    </x:fill>
    <x:fill>
      <x:patternFill patternType="solid">
        <x:fgColor rgb="FFDDEBF7"/>
      </x:patternFill>
    </x:fill>
    <x:fill>
      <x:patternFill patternType="solid">
        <x:fgColor rgb="FFF5F9EE"/>
      </x:patternFill>
    </x:fill>
    <x:fill>
      <x:patternFill patternType="solid">
        <x:fgColor rgb="FFF2EEDC"/>
      </x:patternFill>
    </x:fill>
    <x:fill>
      <x:patternFill patternType="solid">
        <x:fgColor rgb="FFEEF7FA"/>
      </x:patternFill>
    </x:fill>
    <x:fill>
      <x:patternFill patternType="solid">
        <x:fgColor rgb="FFD9D9D9"/>
      </x:patternFill>
    </x:fill>
    <x:fill>
      <x:patternFill patternType="solid">
        <x:fgColor rgb="FFC6E0B4"/>
      </x:patternFill>
    </x:fill>
  </x:fills>
  <x:borders count="20">
    <x:border/>
    <x:border/>
    <x:border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</x:border>
    <x:border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</x:border>
    <x:border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</x:border>
    <x:border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</x:border>
    <x:border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</x:border>
    <x:border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</x:border>
    <x:border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</x:border>
    <x:border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</x:border>
    <x:border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</x:border>
    <x:border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</x:border>
    <x:border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</x:border>
    <x:border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</x:border>
  </x:borders>
  <x:cellStyleXfs count="1">
    <x:xf numFmtId="0" fontId="0" fillId="0" borderId="0"/>
  </x:cellStyleXfs>
  <x:cellXfs count="23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2" fillId="10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horizont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0" fontId="2" fillId="9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2" fillId="10" borderId="0" xfId="0" applyNumberFormat="1" applyFont="1" applyFill="1" applyBorder="1" applyAlignment="1">
      <x:alignment vertical="center" wrapText="1"/>
    </x:xf>
    <x:xf numFmtId="200" fontId="2" fillId="9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2" fillId="10" borderId="1" xfId="0" applyNumberFormat="1" applyFont="1" applyFill="1" applyBorder="1" applyAlignment="1">
      <x:alignment vertical="center" wrapText="1"/>
    </x:xf>
    <x:xf numFmtId="201" fontId="2" fillId="9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2" fillId="10" borderId="0" xfId="0" applyNumberFormat="1" applyFont="1" applyFill="1" applyBorder="1" applyAlignment="1">
      <x:alignment vertical="center" wrapText="1"/>
    </x:xf>
    <x:xf numFmtId="201" fontId="2" fillId="9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vertical="center" wrapText="1"/>
    </x:xf>
    <x:xf numFmtId="201" fontId="2" fillId="10" borderId="1" xfId="0" applyNumberFormat="1" applyFont="1" applyFill="1" applyBorder="1" applyAlignment="1">
      <x:alignment vertical="center" wrapText="1"/>
    </x:xf>
    <x:xf numFmtId="201" fontId="0" fillId="7" borderId="0" xfId="0" applyNumberFormat="1" applyFont="1" applyFill="1" applyBorder="1" applyAlignment="1">
      <x:alignment vertical="center" wrapText="1"/>
    </x:xf>
    <x:xf numFmtId="201" fontId="0" fillId="7" borderId="1" xfId="0" applyNumberFormat="1" applyFont="1" applyFill="1" applyBorder="1" applyAlignment="1">
      <x:alignment vertical="center" wrapText="1"/>
    </x:xf>
    <x:xf numFmtId="201" fontId="0" fillId="8" borderId="0" xfId="0" applyNumberFormat="1" applyFont="1" applyFill="1" applyBorder="1" applyAlignment="1">
      <x:alignment vertical="center" wrapText="1"/>
    </x:xf>
    <x:xf numFmtId="201" fontId="0" fillId="8" borderId="1" xfId="0" applyNumberFormat="1" applyFont="1" applyFill="1" applyBorder="1" applyAlignment="1">
      <x:alignment vertical="center" wrapText="1"/>
    </x:xf>
    <x:xf numFmtId="202" fontId="2" fillId="9" borderId="0" xfId="0" applyNumberFormat="1" applyFont="1" applyFill="1" applyBorder="1" applyAlignment="1">
      <x:alignment vertical="center" wrapText="1"/>
    </x:xf>
    <x:xf numFmtId="202" fontId="0" fillId="6" borderId="0" xfId="0" applyNumberFormat="1" applyFont="1" applyFill="1" applyBorder="1" applyAlignment="1">
      <x:alignment vertical="center" wrapText="1"/>
    </x:xf>
    <x:xf numFmtId="202" fontId="2" fillId="10" borderId="0" xfId="0" applyNumberFormat="1" applyFont="1" applyFill="1" applyBorder="1" applyAlignment="1">
      <x:alignment vertical="center" wrapText="1"/>
    </x:xf>
    <x:xf numFmtId="202" fontId="2" fillId="9" borderId="1" xfId="0" applyNumberFormat="1" applyFont="1" applyFill="1" applyBorder="1" applyAlignment="1">
      <x:alignment vertical="center" wrapText="1"/>
    </x:xf>
    <x:xf numFmtId="202" fontId="0" fillId="6" borderId="1" xfId="0" applyNumberFormat="1" applyFont="1" applyFill="1" applyBorder="1" applyAlignment="1">
      <x:alignment vertical="center" wrapText="1"/>
    </x:xf>
    <x:xf numFmtId="202" fontId="2" fillId="10" borderId="1" xfId="0" applyNumberFormat="1" applyFont="1" applyFill="1" applyBorder="1" applyAlignment="1">
      <x:alignment vertical="center" wrapText="1"/>
    </x:xf>
    <x:xf numFmtId="202" fontId="0" fillId="7" borderId="0" xfId="0" applyNumberFormat="1" applyFont="1" applyFill="1" applyBorder="1" applyAlignment="1">
      <x:alignment vertical="center" wrapText="1"/>
    </x:xf>
    <x:xf numFmtId="202" fontId="0" fillId="7" borderId="1" xfId="0" applyNumberFormat="1" applyFont="1" applyFill="1" applyBorder="1" applyAlignment="1">
      <x:alignment vertical="center" wrapText="1"/>
    </x:xf>
    <x:xf numFmtId="202" fontId="0" fillId="8" borderId="0" xfId="0" applyNumberFormat="1" applyFont="1" applyFill="1" applyBorder="1" applyAlignment="1">
      <x:alignment vertical="center" wrapText="1"/>
    </x:xf>
    <x:xf numFmtId="202" fontId="0" fillId="8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2" fillId="9" borderId="5" xfId="0" applyNumberFormat="1" applyFont="1" applyFill="1" applyBorder="1" applyAlignment="1">
      <x:alignment vertical="center" wrapText="1"/>
    </x:xf>
    <x:xf numFmtId="0" fontId="2" fillId="9" borderId="6" xfId="0" applyNumberFormat="1" applyFont="1" applyFill="1" applyBorder="1" applyAlignment="1">
      <x:alignment vertical="center" wrapText="1"/>
    </x:xf>
    <x:xf numFmtId="200" fontId="2" fillId="9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2" fontId="2" fillId="9" borderId="6" xfId="0" applyNumberFormat="1" applyFont="1" applyFill="1" applyBorder="1" applyAlignment="1">
      <x:alignment vertical="center" wrapText="1"/>
    </x:xf>
    <x:xf numFmtId="201" fontId="2" fillId="9" borderId="6" xfId="0" applyNumberFormat="1" applyFont="1" applyFill="1" applyBorder="1" applyAlignment="1">
      <x:alignment vertical="center" wrapText="1"/>
    </x:xf>
    <x:xf numFmtId="0" fontId="2" fillId="9" borderId="7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2" fontId="0" fillId="6" borderId="6" xfId="0" applyNumberFormat="1" applyFont="1" applyFill="1" applyBorder="1" applyAlignment="1">
      <x:alignment vertical="center" wrapText="1"/>
    </x:xf>
    <x:xf numFmtId="201" fontId="0" fillId="6" borderId="6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202" fontId="0" fillId="7" borderId="6" xfId="0" applyNumberFormat="1" applyFont="1" applyFill="1" applyBorder="1" applyAlignment="1">
      <x:alignment vertical="center" wrapText="1"/>
    </x:xf>
    <x:xf numFmtId="201" fontId="0" fillId="7" borderId="6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202" fontId="0" fillId="8" borderId="6" xfId="0" applyNumberFormat="1" applyFont="1" applyFill="1" applyBorder="1" applyAlignment="1">
      <x:alignment vertical="center" wrapText="1"/>
    </x:xf>
    <x:xf numFmtId="201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2" fillId="10" borderId="8" xfId="0" applyNumberFormat="1" applyFont="1" applyFill="1" applyBorder="1" applyAlignment="1">
      <x:alignment vertical="center" wrapText="1"/>
    </x:xf>
    <x:xf numFmtId="0" fontId="2" fillId="10" borderId="9" xfId="0" applyNumberFormat="1" applyFont="1" applyFill="1" applyBorder="1" applyAlignment="1">
      <x:alignment vertical="center" wrapText="1"/>
    </x:xf>
    <x:xf numFmtId="200" fontId="2" fillId="10" borderId="9" xfId="0" applyNumberFormat="1" applyFont="1" applyFill="1" applyBorder="1" applyAlignment="1">
      <x:alignment vertical="center" wrapText="1"/>
    </x:xf>
    <x:xf numFmtId="202" fontId="2" fillId="10" borderId="9" xfId="0" applyNumberFormat="1" applyFont="1" applyFill="1" applyBorder="1" applyAlignment="1">
      <x:alignment vertical="center" wrapText="1"/>
    </x:xf>
    <x:xf numFmtId="201" fontId="2" fillId="10" borderId="9" xfId="0" applyNumberFormat="1" applyFont="1" applyFill="1" applyBorder="1" applyAlignment="1">
      <x:alignment vertical="center" wrapText="1"/>
    </x:xf>
    <x:xf numFmtId="0" fontId="2" fillId="10" borderId="10" xfId="0" applyNumberFormat="1" applyFont="1" applyFill="1" applyBorder="1" applyAlignment="1">
      <x:alignment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2" fillId="5" borderId="12" xfId="0" applyNumberFormat="1" applyFont="1" applyFill="1" applyBorder="1" applyAlignment="1">
      <x:alignment horizontal="center" vertical="center" wrapText="1"/>
    </x:xf>
    <x:xf numFmtId="0" fontId="2" fillId="5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5" borderId="15" xfId="0" applyNumberFormat="1" applyFont="1" applyFill="1" applyBorder="1" applyAlignment="1">
      <x:alignment horizontal="center" vertical="center" wrapText="1"/>
    </x:xf>
    <x:xf numFmtId="0" fontId="2" fillId="5" borderId="16" xfId="0" applyNumberFormat="1" applyFont="1" applyFill="1" applyBorder="1" applyAlignment="1">
      <x:alignment horizontal="center" vertical="center" wrapText="1"/>
    </x:xf>
    <x:xf numFmtId="0" fontId="4" fillId="2" borderId="14" xfId="0" applyNumberFormat="1" applyFont="1" applyFill="1" applyBorder="1" applyAlignment="1">
      <x:alignment horizontal="center" vertical="center" wrapText="1"/>
    </x:xf>
    <x:xf numFmtId="0" fontId="4" fillId="2" borderId="15" xfId="0" applyNumberFormat="1" applyFont="1" applyFill="1" applyBorder="1" applyAlignment="1">
      <x:alignment horizontal="center" vertical="center" wrapText="1"/>
    </x:xf>
    <x:xf numFmtId="0" fontId="2" fillId="9" borderId="14" xfId="0" applyNumberFormat="1" applyFont="1" applyFill="1" applyBorder="1" applyAlignment="1">
      <x:alignment vertical="center" wrapText="1"/>
    </x:xf>
    <x:xf numFmtId="0" fontId="2" fillId="9" borderId="15" xfId="0" applyNumberFormat="1" applyFont="1" applyFill="1" applyBorder="1" applyAlignment="1">
      <x:alignment vertical="center" wrapText="1"/>
    </x:xf>
    <x:xf numFmtId="200" fontId="2" fillId="9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2" fontId="2" fillId="9" borderId="15" xfId="0" applyNumberFormat="1" applyFont="1" applyFill="1" applyBorder="1" applyAlignment="1">
      <x:alignment vertical="center" wrapText="1"/>
    </x:xf>
    <x:xf numFmtId="201" fontId="2" fillId="9" borderId="15" xfId="0" applyNumberFormat="1" applyFont="1" applyFill="1" applyBorder="1" applyAlignment="1">
      <x:alignment vertical="center" wrapText="1"/>
    </x:xf>
    <x:xf numFmtId="0" fontId="2" fillId="9" borderId="16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2" fontId="0" fillId="6" borderId="15" xfId="0" applyNumberFormat="1" applyFont="1" applyFill="1" applyBorder="1" applyAlignment="1">
      <x:alignment vertical="center" wrapText="1"/>
    </x:xf>
    <x:xf numFmtId="201" fontId="0" fillId="6" borderId="15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202" fontId="0" fillId="7" borderId="15" xfId="0" applyNumberFormat="1" applyFont="1" applyFill="1" applyBorder="1" applyAlignment="1">
      <x:alignment vertical="center" wrapText="1"/>
    </x:xf>
    <x:xf numFmtId="201" fontId="0" fillId="7" borderId="15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202" fontId="0" fillId="8" borderId="15" xfId="0" applyNumberFormat="1" applyFont="1" applyFill="1" applyBorder="1" applyAlignment="1">
      <x:alignment vertical="center" wrapText="1"/>
    </x:xf>
    <x:xf numFmtId="201" fontId="0" fillId="8" borderId="15" xfId="0" applyNumberFormat="1" applyFont="1" applyFill="1" applyBorder="1" applyAlignment="1">
      <x:alignment vertical="center" wrapText="1"/>
    </x:xf>
    <x:xf numFmtId="0" fontId="0" fillId="8" borderId="16" xfId="0" applyNumberFormat="1" applyFont="1" applyFill="1" applyBorder="1" applyAlignment="1">
      <x:alignment vertical="center" wrapText="1"/>
    </x:xf>
    <x:xf numFmtId="0" fontId="2" fillId="10" borderId="17" xfId="0" applyNumberFormat="1" applyFont="1" applyFill="1" applyBorder="1" applyAlignment="1">
      <x:alignment vertical="center" wrapText="1"/>
    </x:xf>
    <x:xf numFmtId="0" fontId="2" fillId="10" borderId="18" xfId="0" applyNumberFormat="1" applyFont="1" applyFill="1" applyBorder="1" applyAlignment="1">
      <x:alignment vertical="center" wrapText="1"/>
    </x:xf>
    <x:xf numFmtId="200" fontId="2" fillId="10" borderId="18" xfId="0" applyNumberFormat="1" applyFont="1" applyFill="1" applyBorder="1" applyAlignment="1">
      <x:alignment vertical="center" wrapText="1"/>
    </x:xf>
    <x:xf numFmtId="202" fontId="2" fillId="10" borderId="18" xfId="0" applyNumberFormat="1" applyFont="1" applyFill="1" applyBorder="1" applyAlignment="1">
      <x:alignment vertical="center" wrapText="1"/>
    </x:xf>
    <x:xf numFmtId="201" fontId="2" fillId="10" borderId="18" xfId="0" applyNumberFormat="1" applyFont="1" applyFill="1" applyBorder="1" applyAlignment="1">
      <x:alignment vertical="center" wrapText="1"/>
    </x:xf>
    <x:xf numFmtId="0" fontId="2" fillId="10" borderId="1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200" fontId="0" fillId="9" borderId="0" xfId="0" applyNumberFormat="1" applyFont="1" applyFill="1" applyBorder="1" applyAlignment="1">
      <x:alignment vertical="center" wrapText="1"/>
    </x:xf>
    <x:xf numFmtId="200" fontId="0" fillId="9" borderId="1" xfId="0" applyNumberFormat="1" applyFont="1" applyFill="1" applyBorder="1" applyAlignment="1">
      <x:alignment vertical="center" wrapText="1"/>
    </x:xf>
    <x:xf numFmtId="200" fontId="0" fillId="10" borderId="0" xfId="0" applyNumberFormat="1" applyFont="1" applyFill="1" applyBorder="1" applyAlignment="1">
      <x:alignment vertical="center" wrapText="1"/>
    </x:xf>
    <x:xf numFmtId="200" fontId="0" fillId="1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1" fontId="2" fillId="3" borderId="6" xfId="0" applyNumberFormat="1" applyFont="1" applyFill="1" applyBorder="1" applyAlignment="1">
      <x:alignment horizontal="center" vertical="center" wrapText="1"/>
    </x:xf>
    <x:xf numFmtId="201" fontId="5" fillId="3" borderId="6" xfId="0" applyNumberFormat="1" applyFont="1" applyFill="1" applyBorder="1" applyAlignment="1">
      <x:alignment horizontal="center" vertical="center" wrapText="1"/>
    </x:xf>
    <x:xf numFmtId="201" fontId="2" fillId="4" borderId="6" xfId="0" applyNumberFormat="1" applyFont="1" applyFill="1" applyBorder="1" applyAlignment="1">
      <x:alignment horizontal="center" vertical="center" wrapText="1"/>
    </x:xf>
    <x:xf numFmtId="201" fontId="5" fillId="4" borderId="6" xfId="0" applyNumberFormat="1" applyFont="1" applyFill="1" applyBorder="1" applyAlignment="1">
      <x:alignment horizontal="center" vertical="center" wrapText="1"/>
    </x:xf>
    <x:xf numFmtId="201" fontId="2" fillId="5" borderId="6" xfId="0" applyNumberFormat="1" applyFont="1" applyFill="1" applyBorder="1" applyAlignment="1">
      <x:alignment horizontal="center" vertical="center" wrapText="1"/>
    </x:xf>
    <x:xf numFmtId="201" fontId="5" fillId="5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96b3162924201" /><Relationship Type="http://schemas.openxmlformats.org/officeDocument/2006/relationships/theme" Target="/xl/theme/theme1.xml" Id="R1895a1bd28534b11" /><Relationship Type="http://schemas.openxmlformats.org/officeDocument/2006/relationships/sharedStrings" Target="/xl/sharedStrings.xml" Id="R9333b248a24a4d5b" /><Relationship Type="http://schemas.openxmlformats.org/officeDocument/2006/relationships/worksheet" Target="/xl/worksheets/sheet1.xml" Id="Rb3e91cec049b4633" /><Relationship Type="http://schemas.openxmlformats.org/officeDocument/2006/relationships/worksheet" Target="/xl/worksheets/sheet2.xml" Id="Rad9d1965b7f047fa" /><Relationship Type="http://schemas.openxmlformats.org/officeDocument/2006/relationships/worksheet" Target="/xl/worksheets/sheet3.xml" Id="Rcc9d6bbcaa2c4731" /><Relationship Type="http://schemas.openxmlformats.org/officeDocument/2006/relationships/worksheet" Target="/xl/worksheets/sheet4.xml" Id="Rd0ea14257f5542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affc427610478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Score</c:v>
          </c:tx>
          <c:cat>
            <c:strRef>
              <c:f>'Sélection SS3'!$A$33:$A$35</c:f>
              <c:strCache>
                <c:ptCount val="0"/>
              </c:strCache>
            </c:strRef>
          </c:cat>
          <c:val>
            <c:numRef>
              <c:f>'Sélection SS3'!$B$33:$B$35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31</xdr:row>
      <xdr:rowOff>0</xdr:rowOff>
    </xdr:from>
    <xdr:to>
      <xdr:col>11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affc427610478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09cd2eec564745" /></Relationships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8" hidden="0" customWidth="1"/>
    <x:col min="2" max="2" width="8" hidden="0" customWidth="1"/>
    <x:col min="3" max="3" width="38" hidden="0" customWidth="1"/>
    <x:col min="4" max="4" width="10" hidden="0" customWidth="1"/>
    <x:col min="5" max="5" width="3" hidden="0" customWidth="1"/>
    <x:col min="6" max="6" width="12" hidden="0" customWidth="1"/>
    <x:col min="7" max="7" width="13" hidden="0" customWidth="1"/>
    <x:col min="8" max="8" width="37" hidden="0" customWidth="1"/>
    <x:col min="9" max="9" width="3" hidden="0" customWidth="1"/>
    <x:col min="10" max="10" width="12" hidden="0" customWidth="1"/>
    <x:col min="11" max="11" width="13" hidden="0" customWidth="1"/>
    <x:col min="12" max="12" width="37" hidden="0" customWidth="1"/>
    <x:col min="13" max="13" width="3" hidden="0" customWidth="1"/>
    <x:col min="14" max="14" width="12" hidden="0" customWidth="1"/>
    <x:col min="15" max="15" width="13" hidden="0" customWidth="1"/>
    <x:col min="16" max="16" width="37" hidden="0" customWidth="1"/>
  </x:cols>
  <x:sheetData>
    <x:row r="1" ht="28" customHeight="1">
      <x:c r="A1" s="3" t="str">
        <x:v>Étape 5 — Analyse des solutions par caractéristiques voulues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SS-3 — Calculer le comportement attendu et le comparer au comportement observé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42" customHeight="1">
      <x:c r="A3" s="11" t="str">
        <x:v>PRÉSÉLECTION THÉORIQUE fondée sur les définitions des concepts A, B et C et sur la grille SS-3. Les notes ne constituent pas des résultats d’essais. Les seuils numériques, les budgets de temps/heures et le respect des spécifications minimales doivent être confirmés par l’équipe.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5" ht="28" customHeight="1">
      <x:c r="A5" s="122" t="str">
        <x:v>GRILLE SS-3 — Pondération totale : 100 %</x:v>
      </x:c>
      <x:c r="B5" s="123"/>
      <x:c r="C5" s="123"/>
      <x:c r="D5" s="123"/>
      <x:c r="E5" s="124"/>
      <x:c r="F5" s="125" t="str">
        <x:v>SOLUTION 1</x:v>
      </x:c>
      <x:c r="G5" s="125"/>
      <x:c r="H5" s="125"/>
      <x:c r="I5" s="124"/>
      <x:c r="J5" s="126" t="str">
        <x:v>SOLUTION 2</x:v>
      </x:c>
      <x:c r="K5" s="126"/>
      <x:c r="L5" s="126"/>
      <x:c r="M5" s="124"/>
      <x:c r="N5" s="127" t="str">
        <x:v>SOLUTION 3</x:v>
      </x:c>
      <x:c r="O5" s="127"/>
      <x:c r="P5" s="128"/>
    </x:row>
    <x:row r="6" ht="28" customHeight="1">
      <x:c r="A6" s="129"/>
      <x:c r="B6" s="130"/>
      <x:c r="C6" s="130"/>
      <x:c r="D6" s="130"/>
      <x:c r="E6" s="130"/>
      <x:c r="F6" s="228" t="n">
        <x:f>G25</x:f>
        <x:v>0.8625</x:v>
      </x:c>
      <x:c r="G6" s="131"/>
      <x:c r="H6" s="131"/>
      <x:c r="I6" s="130"/>
      <x:c r="J6" s="230" t="n">
        <x:f>K25</x:f>
        <x:v>0.8500000000000001</x:v>
      </x:c>
      <x:c r="K6" s="132"/>
      <x:c r="L6" s="132"/>
      <x:c r="M6" s="130"/>
      <x:c r="N6" s="232" t="n">
        <x:f>O25</x:f>
        <x:v>0.675</x:v>
      </x:c>
      <x:c r="O6" s="133"/>
      <x:c r="P6" s="134"/>
    </x:row>
    <x:row r="7" ht="28" customHeight="1">
      <x:c r="A7" s="129"/>
      <x:c r="B7" s="130"/>
      <x:c r="C7" s="130"/>
      <x:c r="D7" s="130"/>
      <x:c r="E7" s="130"/>
      <x:c r="F7" s="131" t="str">
        <x:v>Concept A — Référence en boucle ouverte</x:v>
      </x:c>
      <x:c r="G7" s="131"/>
      <x:c r="H7" s="131"/>
      <x:c r="I7" s="130"/>
      <x:c r="J7" s="132" t="str">
        <x:v>Concept B — Référence recalée</x:v>
      </x:c>
      <x:c r="K7" s="132"/>
      <x:c r="L7" s="132"/>
      <x:c r="M7" s="130"/>
      <x:c r="N7" s="133" t="str">
        <x:v>Concept C — Référence par relations invariantes</x:v>
      </x:c>
      <x:c r="O7" s="133"/>
      <x:c r="P7" s="134"/>
    </x:row>
    <x:row r="8" ht="28" customHeight="1">
      <x:c r="A8" s="135" t="str">
        <x:v>Priorité</x:v>
      </x:c>
      <x:c r="B8" s="136" t="str">
        <x:v>N°</x:v>
      </x:c>
      <x:c r="C8" s="136" t="str">
        <x:v>Critère de décision</x:v>
      </x:c>
      <x:c r="D8" s="136" t="str">
        <x:v>Poids</x:v>
      </x:c>
      <x:c r="E8" s="130"/>
      <x:c r="F8" s="131" t="str">
        <x:v>Pointage
sur 10</x:v>
      </x:c>
      <x:c r="G8" s="131" t="str">
        <x:v>Résultat
pondéré</x:v>
      </x:c>
      <x:c r="H8" s="131" t="str">
        <x:v>Commentaires</x:v>
      </x:c>
      <x:c r="I8" s="130"/>
      <x:c r="J8" s="132" t="str">
        <x:v>Pointage
sur 10</x:v>
      </x:c>
      <x:c r="K8" s="132" t="str">
        <x:v>Résultat
pondéré</x:v>
      </x:c>
      <x:c r="L8" s="132" t="str">
        <x:v>Commentaires</x:v>
      </x:c>
      <x:c r="M8" s="130"/>
      <x:c r="N8" s="133" t="str">
        <x:v>Pointage
sur 10</x:v>
      </x:c>
      <x:c r="O8" s="133" t="str">
        <x:v>Résultat
pondéré</x:v>
      </x:c>
      <x:c r="P8" s="134" t="str">
        <x:v>Commentaires</x:v>
      </x:c>
    </x:row>
    <x:row r="9" ht="28" customHeight="1">
      <x:c r="A9" s="137"/>
      <x:c r="B9" s="138" t="str">
        <x:v>F1</x:v>
      </x:c>
      <x:c r="C9" s="138" t="str">
        <x:v>Production de la comparaison</x:v>
      </x:c>
      <x:c r="D9" s="139" t="n">
        <x:v>0.3</x:v>
      </x:c>
      <x:c r="E9" s="140"/>
      <x:c r="F9" s="141" t="n">
        <x:f>SUM(F10:F11)</x:f>
        <x:v>20</x:v>
      </x:c>
      <x:c r="G9" s="142" t="n">
        <x:f>SUM(G10:G11)</x:f>
        <x:v>0.3</x:v>
      </x:c>
      <x:c r="H9" s="138" t="str">
        <x:v>Sous-total de la fonctionnalité</x:v>
      </x:c>
      <x:c r="I9" s="140"/>
      <x:c r="J9" s="141" t="n">
        <x:f>SUM(J10:J11)</x:f>
        <x:v>20</x:v>
      </x:c>
      <x:c r="K9" s="142" t="n">
        <x:f>SUM(K10:K11)</x:f>
        <x:v>0.3</x:v>
      </x:c>
      <x:c r="L9" s="138" t="str">
        <x:v>Sous-total de la fonctionnalité</x:v>
      </x:c>
      <x:c r="M9" s="140"/>
      <x:c r="N9" s="141" t="n">
        <x:f>SUM(N10:N11)</x:f>
        <x:v>12.5</x:v>
      </x:c>
      <x:c r="O9" s="142" t="n">
        <x:f>SUM(O10:O11)</x:f>
        <x:v>0.1875</x:v>
      </x:c>
      <x:c r="P9" s="143" t="str">
        <x:v>Sous-total de la fonctionnalité</x:v>
      </x:c>
    </x:row>
    <x:row r="10" ht="54" customHeight="1">
      <x:c r="A10" s="144" t="n">
        <x:v>1</x:v>
      </x:c>
      <x:c r="B10" s="140" t="str">
        <x:v>C1</x:v>
      </x:c>
      <x:c r="C10" s="140" t="str">
        <x:v>Couverture de la température, de la pression et du débit</x:v>
      </x:c>
      <x:c r="D10" s="145" t="n">
        <x:v>0.15</x:v>
      </x:c>
      <x:c r="E10" s="140"/>
      <x:c r="F10" s="146" t="n">
        <x:v>10</x:v>
      </x:c>
      <x:c r="G10" s="147" t="n">
        <x:f>F10/10*$D10</x:f>
        <x:v>0.15</x:v>
      </x:c>
      <x:c r="H10" s="148" t="str">
        <x:v>Le concept A calcule explicitement les valeurs attendues de T, P et débit.</x:v>
      </x:c>
      <x:c r="I10" s="140"/>
      <x:c r="J10" s="149" t="n">
        <x:v>10</x:v>
      </x:c>
      <x:c r="K10" s="150" t="n">
        <x:f>J10/10*$D10</x:f>
        <x:v>0.15</x:v>
      </x:c>
      <x:c r="L10" s="151" t="str">
        <x:v>Le concept B prédit explicitement T, P et débit avant recalage.</x:v>
      </x:c>
      <x:c r="M10" s="140"/>
      <x:c r="N10" s="152" t="n">
        <x:v>5</x:v>
      </x:c>
      <x:c r="O10" s="153" t="n">
        <x:f>N10/10*$D10</x:f>
        <x:v>0.075</x:v>
      </x:c>
      <x:c r="P10" s="154" t="str">
        <x:v>Le concept C vérifie des relations physiques, mais ne garantit pas encore une trajectoire complète ni une couverture démontrée de T, P et débit.</x:v>
      </x:c>
    </x:row>
    <x:row r="11" ht="54" customHeight="1">
      <x:c r="A11" s="144" t="n">
        <x:v>1</x:v>
      </x:c>
      <x:c r="B11" s="140" t="str">
        <x:v>C2</x:v>
      </x:c>
      <x:c r="C11" s="140" t="str">
        <x:v>Disponibilité des résidus exploitables</x:v>
      </x:c>
      <x:c r="D11" s="145" t="n">
        <x:v>0.15</x:v>
      </x:c>
      <x:c r="E11" s="140"/>
      <x:c r="F11" s="146" t="n">
        <x:v>10</x:v>
      </x:c>
      <x:c r="G11" s="147" t="n">
        <x:f>F11/10*$D11</x:f>
        <x:v>0.15</x:v>
      </x:c>
      <x:c r="H11" s="148" t="str">
        <x:v>Un résidu observé − attendu peut être produit à chaque comparaison valide.</x:v>
      </x:c>
      <x:c r="I11" s="140"/>
      <x:c r="J11" s="149" t="n">
        <x:v>10</x:v>
      </x:c>
      <x:c r="K11" s="150" t="n">
        <x:f>J11/10*$D11</x:f>
        <x:v>0.15</x:v>
      </x:c>
      <x:c r="L11" s="151" t="str">
        <x:v>L’innovation observé − prédit est calculée avant chaque correction valide.</x:v>
      </x:c>
      <x:c r="M11" s="140"/>
      <x:c r="N11" s="152" t="n">
        <x:v>7.5</x:v>
      </x:c>
      <x:c r="O11" s="153" t="n">
        <x:f>N11/10*$D11</x:f>
        <x:v>0.11249999999999999</x:v>
      </x:c>
      <x:c r="P11" s="154" t="str">
        <x:v>Le résidu n’est produit que si la relation est applicable; sinon la comparaison est signalée indisponible.</x:v>
      </x:c>
    </x:row>
    <x:row r="12" ht="28" customHeight="1">
      <x:c r="A12" s="137"/>
      <x:c r="B12" s="138" t="str">
        <x:v>F2</x:v>
      </x:c>
      <x:c r="C12" s="138" t="str">
        <x:v>Qualité des résidus</x:v>
      </x:c>
      <x:c r="D12" s="139" t="n">
        <x:v>0.3</x:v>
      </x:c>
      <x:c r="E12" s="140"/>
      <x:c r="F12" s="141" t="n">
        <x:f>SUM(F13:F15)</x:f>
        <x:v>25</x:v>
      </x:c>
      <x:c r="G12" s="142" t="n">
        <x:f>SUM(G13:G15)</x:f>
        <x:v>0.25</x:v>
      </x:c>
      <x:c r="H12" s="138" t="str">
        <x:v>Sous-total de la fonctionnalité</x:v>
      </x:c>
      <x:c r="I12" s="140"/>
      <x:c r="J12" s="141" t="n">
        <x:f>SUM(J13:J15)</x:f>
        <x:v>22.5</x:v>
      </x:c>
      <x:c r="K12" s="142" t="n">
        <x:f>SUM(K13:K15)</x:f>
        <x:v>0.22500000000000003</x:v>
      </x:c>
      <x:c r="L12" s="138" t="str">
        <x:v>Sous-total de la fonctionnalité</x:v>
      </x:c>
      <x:c r="M12" s="140"/>
      <x:c r="N12" s="141" t="n">
        <x:f>SUM(N13:N15)</x:f>
        <x:v>17.5</x:v>
      </x:c>
      <x:c r="O12" s="142" t="n">
        <x:f>SUM(O13:O15)</x:f>
        <x:v>0.175</x:v>
      </x:c>
      <x:c r="P12" s="143" t="str">
        <x:v>Sous-total de la fonctionnalité</x:v>
      </x:c>
    </x:row>
    <x:row r="13" ht="54" customHeight="1">
      <x:c r="A13" s="144" t="n">
        <x:v>1</x:v>
      </x:c>
      <x:c r="B13" s="140" t="str">
        <x:v>C3</x:v>
      </x:c>
      <x:c r="C13" s="140" t="str">
        <x:v>Résidus exploitables pour les 3 scénarios de défaillance</x:v>
      </x:c>
      <x:c r="D13" s="145" t="n">
        <x:v>0.1</x:v>
      </x:c>
      <x:c r="E13" s="140"/>
      <x:c r="F13" s="146" t="n">
        <x:v>7.5</x:v>
      </x:c>
      <x:c r="G13" s="147" t="n">
        <x:f>F13/10*$D13</x:f>
        <x:v>0.07500000000000001</x:v>
      </x:c>
      <x:c r="H13" s="148" t="str">
        <x:v>L’architecture est adaptée aux écarts persistants, mais la couverture des 3 scénarios doit encore être démontrée par essais.</x:v>
      </x:c>
      <x:c r="I13" s="140"/>
      <x:c r="J13" s="149" t="n">
        <x:v>7.5</x:v>
      </x:c>
      <x:c r="K13" s="150" t="n">
        <x:f>J13/10*$D13</x:f>
        <x:v>0.07500000000000001</x:v>
      </x:c>
      <x:c r="L13" s="151" t="str">
        <x:v>Le résidu pré-correction est exploitable, mais la couverture effective des 3 scénarios doit encore être démontrée.</x:v>
      </x:c>
      <x:c r="M13" s="140"/>
      <x:c r="N13" s="152" t="n">
        <x:v>5</x:v>
      </x:c>
      <x:c r="O13" s="153" t="n">
        <x:f>N13/10*$D13</x:f>
        <x:v>0.05</x:v>
      </x:c>
      <x:c r="P13" s="154" t="str">
        <x:v>Certains défauts peuvent rester invisibles s’ils préservent les relations vérifiées; la couverture des 3 scénarios n’est donc pas démontrée.</x:v>
      </x:c>
    </x:row>
    <x:row r="14" ht="54" customHeight="1">
      <x:c r="A14" s="144" t="n">
        <x:v>2</x:v>
      </x:c>
      <x:c r="B14" s="140" t="str">
        <x:v>C4</x:v>
      </x:c>
      <x:c r="C14" s="140" t="str">
        <x:v>Respect des tolérances en fonctionnement sans défaut</x:v>
      </x:c>
      <x:c r="D14" s="145" t="n">
        <x:v>0.1</x:v>
      </x:c>
      <x:c r="E14" s="140"/>
      <x:c r="F14" s="146" t="n">
        <x:v>7.5</x:v>
      </x:c>
      <x:c r="G14" s="147" t="n">
        <x:f>F14/10*$D14</x:f>
        <x:v>0.07500000000000001</x:v>
      </x:c>
      <x:c r="H14" s="148" t="str">
        <x:v>Une erreur du modèle de référence peut créer un résidu persistant sans défaillance.</x:v>
      </x:c>
      <x:c r="I14" s="140"/>
      <x:c r="J14" s="149" t="n">
        <x:v>10</x:v>
      </x:c>
      <x:c r="K14" s="150" t="n">
        <x:f>J14/10*$D14</x:f>
        <x:v>0.1</x:v>
      </x:c>
      <x:c r="L14" s="151" t="str">
        <x:v>Le recalage limite l’accumulation des erreurs de modèle et maintient l’estimation proche des mesures.</x:v>
      </x:c>
      <x:c r="M14" s="140"/>
      <x:c r="N14" s="152" t="n">
        <x:v>7.5</x:v>
      </x:c>
      <x:c r="O14" s="153" t="n">
        <x:f>N14/10*$D14</x:f>
        <x:v>0.07500000000000001</x:v>
      </x:c>
      <x:c r="P14" s="154" t="str">
        <x:v>Les erreurs de mesure et les simplifications des relations peuvent produire un résidu non nul sans défaillance.</x:v>
      </x:c>
    </x:row>
    <x:row r="15" ht="54" customHeight="1">
      <x:c r="A15" s="144" t="n">
        <x:v>1</x:v>
      </x:c>
      <x:c r="B15" s="140" t="str">
        <x:v>C5</x:v>
      </x:c>
      <x:c r="C15" s="140" t="str">
        <x:v>Risque de masquage d’un défaut réel</x:v>
      </x:c>
      <x:c r="D15" s="145" t="n">
        <x:v>0.1</x:v>
      </x:c>
      <x:c r="E15" s="140"/>
      <x:c r="F15" s="146" t="n">
        <x:v>10</x:v>
      </x:c>
      <x:c r="G15" s="147" t="n">
        <x:f>F15/10*$D15</x:f>
        <x:v>0.1</x:v>
      </x:c>
      <x:c r="H15" s="148" t="str">
        <x:v>La référence n’est jamais corrigée par les mesures; une dérive réelle reste visible.</x:v>
      </x:c>
      <x:c r="I15" s="140"/>
      <x:c r="J15" s="149" t="n">
        <x:v>5</x:v>
      </x:c>
      <x:c r="K15" s="150" t="n">
        <x:f>J15/10*$D15</x:f>
        <x:v>0.05</x:v>
      </x:c>
      <x:c r="L15" s="151" t="str">
        <x:v>Le recalage peut suivre progressivement une dérive et réduire artificiellement l’écart.</x:v>
      </x:c>
      <x:c r="M15" s="140"/>
      <x:c r="N15" s="152" t="n">
        <x:v>5</x:v>
      </x:c>
      <x:c r="O15" s="153" t="n">
        <x:f>N15/10*$D15</x:f>
        <x:v>0.05</x:v>
      </x:c>
      <x:c r="P15" s="154" t="str">
        <x:v>Le document C précise que certains défauts peuvent rester invisibles s’ils respectent les relations vérifiées.</x:v>
      </x:c>
    </x:row>
    <x:row r="16" ht="28" customHeight="1">
      <x:c r="A16" s="137"/>
      <x:c r="B16" s="138" t="str">
        <x:v>F3</x:v>
      </x:c>
      <x:c r="C16" s="138" t="str">
        <x:v>Validité et traçabilité</x:v>
      </x:c>
      <x:c r="D16" s="139" t="n">
        <x:v>0.2</x:v>
      </x:c>
      <x:c r="E16" s="140"/>
      <x:c r="F16" s="141" t="n">
        <x:f>SUM(F17:F18)</x:f>
        <x:v>17.5</x:v>
      </x:c>
      <x:c r="G16" s="142" t="n">
        <x:f>SUM(G17:G18)</x:f>
        <x:v>0.17500000000000002</x:v>
      </x:c>
      <x:c r="H16" s="138" t="str">
        <x:v>Sous-total de la fonctionnalité</x:v>
      </x:c>
      <x:c r="I16" s="140"/>
      <x:c r="J16" s="141" t="n">
        <x:f>SUM(J17:J18)</x:f>
        <x:v>20</x:v>
      </x:c>
      <x:c r="K16" s="142" t="n">
        <x:f>SUM(K17:K18)</x:f>
        <x:v>0.2</x:v>
      </x:c>
      <x:c r="L16" s="138" t="str">
        <x:v>Sous-total de la fonctionnalité</x:v>
      </x:c>
      <x:c r="M16" s="140"/>
      <x:c r="N16" s="141" t="n">
        <x:f>SUM(N17:N18)</x:f>
        <x:v>17.5</x:v>
      </x:c>
      <x:c r="O16" s="142" t="n">
        <x:f>SUM(O17:O18)</x:f>
        <x:v>0.17500000000000002</x:v>
      </x:c>
      <x:c r="P16" s="143" t="str">
        <x:v>Sous-total de la fonctionnalité</x:v>
      </x:c>
    </x:row>
    <x:row r="17" ht="54" customHeight="1">
      <x:c r="A17" s="144" t="n">
        <x:v>2</x:v>
      </x:c>
      <x:c r="B17" s="140" t="str">
        <x:v>C6</x:v>
      </x:c>
      <x:c r="C17" s="140" t="str">
        <x:v>Gestion des mesures absentes, invalides ou désynchronisées</x:v>
      </x:c>
      <x:c r="D17" s="145" t="n">
        <x:v>0.1</x:v>
      </x:c>
      <x:c r="E17" s="140"/>
      <x:c r="F17" s="146" t="n">
        <x:v>7.5</x:v>
      </x:c>
      <x:c r="G17" s="147" t="n">
        <x:f>F17/10*$D17</x:f>
        <x:v>0.07500000000000001</x:v>
      </x:c>
      <x:c r="H17" s="148" t="str">
        <x:v>A reçoit des mesures horodatées et qualifiées de SS-2, mais la stratégie détaillée de suspension n’est pas explicitée.</x:v>
      </x:c>
      <x:c r="I17" s="140"/>
      <x:c r="J17" s="149" t="n">
        <x:v>10</x:v>
      </x:c>
      <x:c r="K17" s="150" t="n">
        <x:f>J17/10*$D17</x:f>
        <x:v>0.1</x:v>
      </x:c>
      <x:c r="L17" s="151" t="str">
        <x:v>B suspend ou adapte explicitement le recalage lorsqu’une mesure est absente ou non fiable.</x:v>
      </x:c>
      <x:c r="M17" s="140"/>
      <x:c r="N17" s="152" t="n">
        <x:v>10</x:v>
      </x:c>
      <x:c r="O17" s="153" t="n">
        <x:f>N17/10*$D17</x:f>
        <x:v>0.1</x:v>
      </x:c>
      <x:c r="P17" s="154" t="str">
        <x:v>C vérifie explicitement disponibilité, synchronisation et compatibilité des données; une relation non évaluable est signalée indisponible.</x:v>
      </x:c>
    </x:row>
    <x:row r="18" ht="54" customHeight="1">
      <x:c r="A18" s="144" t="n">
        <x:v>2</x:v>
      </x:c>
      <x:c r="B18" s="140" t="str">
        <x:v>C7</x:v>
      </x:c>
      <x:c r="C18" s="140" t="str">
        <x:v>Traçabilité et contexte des résidus</x:v>
      </x:c>
      <x:c r="D18" s="145" t="n">
        <x:v>0.1</x:v>
      </x:c>
      <x:c r="E18" s="140"/>
      <x:c r="F18" s="146" t="n">
        <x:v>10</x:v>
      </x:c>
      <x:c r="G18" s="147" t="n">
        <x:f>F18/10*$D18</x:f>
        <x:v>0.1</x:v>
      </x:c>
      <x:c r="H18" s="148" t="str">
        <x:v>La sortie A transmet résidus, variables concernées, horodatage et validité.</x:v>
      </x:c>
      <x:c r="I18" s="140"/>
      <x:c r="J18" s="149" t="n">
        <x:v>10</x:v>
      </x:c>
      <x:c r="K18" s="150" t="n">
        <x:f>J18/10*$D18</x:f>
        <x:v>0.1</x:v>
      </x:c>
      <x:c r="L18" s="151" t="str">
        <x:v>La sortie B transmet le résidu avant correction, les variables, l’horodatage et la validité.</x:v>
      </x:c>
      <x:c r="M18" s="140"/>
      <x:c r="N18" s="152" t="n">
        <x:v>7.5</x:v>
      </x:c>
      <x:c r="O18" s="153" t="n">
        <x:f>N18/10*$D18</x:f>
        <x:v>0.07500000000000001</x:v>
      </x:c>
      <x:c r="P18" s="154" t="str">
        <x:v>La sortie C transmet résidus, unités, variables impliquées et motifs d’indisponibilité; l’horodatage de sortie n’est pas explicitement décrit.</x:v>
      </x:c>
    </x:row>
    <x:row r="19" ht="28" customHeight="1">
      <x:c r="A19" s="137"/>
      <x:c r="B19" s="138" t="str">
        <x:v>F4</x:v>
      </x:c>
      <x:c r="C19" s="138" t="str">
        <x:v>Indépendance et vérification</x:v>
      </x:c>
      <x:c r="D19" s="139" t="n">
        <x:v>0.1</x:v>
      </x:c>
      <x:c r="E19" s="140"/>
      <x:c r="F19" s="141" t="n">
        <x:f>SUM(F20:F21)</x:f>
        <x:v>12.5</x:v>
      </x:c>
      <x:c r="G19" s="142" t="n">
        <x:f>SUM(G20:G21)</x:f>
        <x:v>0.0625</x:v>
      </x:c>
      <x:c r="H19" s="138" t="str">
        <x:v>Sous-total de la fonctionnalité</x:v>
      </x:c>
      <x:c r="I19" s="140"/>
      <x:c r="J19" s="141" t="n">
        <x:f>SUM(J20:J21)</x:f>
        <x:v>12.5</x:v>
      </x:c>
      <x:c r="K19" s="142" t="n">
        <x:f>SUM(K20:K21)</x:f>
        <x:v>0.0625</x:v>
      </x:c>
      <x:c r="L19" s="138" t="str">
        <x:v>Sous-total de la fonctionnalité</x:v>
      </x:c>
      <x:c r="M19" s="140"/>
      <x:c r="N19" s="141" t="n">
        <x:f>SUM(N20:N21)</x:f>
        <x:v>12.5</x:v>
      </x:c>
      <x:c r="O19" s="142" t="n">
        <x:f>SUM(O20:O21)</x:f>
        <x:v>0.0625</x:v>
      </x:c>
      <x:c r="P19" s="143" t="str">
        <x:v>Sous-total de la fonctionnalité</x:v>
      </x:c>
    </x:row>
    <x:row r="20" ht="54" customHeight="1">
      <x:c r="A20" s="144" t="n">
        <x:v>1</x:v>
      </x:c>
      <x:c r="B20" s="140" t="str">
        <x:v>C8</x:v>
      </x:c>
      <x:c r="C20" s="140" t="str">
        <x:v>Indépendance vis-à-vis de SS-1</x:v>
      </x:c>
      <x:c r="D20" s="145" t="n">
        <x:v>0.05</x:v>
      </x:c>
      <x:c r="E20" s="140"/>
      <x:c r="F20" s="146" t="n">
        <x:v>7.5</x:v>
      </x:c>
      <x:c r="G20" s="147" t="n">
        <x:f>F20/10*$D20</x:f>
        <x:v>0.037500000000000006</x:v>
      </x:c>
      <x:c r="H20" s="148" t="str">
        <x:v>A vise une référence indépendante, mais le document précise que cette indépendance doit encore être démontrée.</x:v>
      </x:c>
      <x:c r="I20" s="140"/>
      <x:c r="J20" s="149" t="n">
        <x:v>7.5</x:v>
      </x:c>
      <x:c r="K20" s="150" t="n">
        <x:f>J20/10*$D20</x:f>
        <x:v>0.037500000000000006</x:v>
      </x:c>
      <x:c r="L20" s="151" t="str">
        <x:v>B utilise son propre état estimé; l’indépendance vis-à-vis des états internes de SS-1 reste à démontrer.</x:v>
      </x:c>
      <x:c r="M20" s="140"/>
      <x:c r="N20" s="152" t="n">
        <x:v>7.5</x:v>
      </x:c>
      <x:c r="O20" s="153" t="n">
        <x:f>N20/10*$D20</x:f>
        <x:v>0.037500000000000006</x:v>
      </x:c>
      <x:c r="P20" s="154" t="str">
        <x:v>C repose sur des relations physiques générales, mais l’indépendance vis-à-vis de SS-1 n’est pas démontrée par un essai ou une revue.</x:v>
      </x:c>
    </x:row>
    <x:row r="21" ht="54" customHeight="1">
      <x:c r="A21" s="144" t="n">
        <x:v>2</x:v>
      </x:c>
      <x:c r="B21" s="140" t="str">
        <x:v>C9</x:v>
      </x:c>
      <x:c r="C21" s="140" t="str">
        <x:v>Vérification indépendante des calculs de résidu</x:v>
      </x:c>
      <x:c r="D21" s="145" t="n">
        <x:v>0.05</x:v>
      </x:c>
      <x:c r="E21" s="140"/>
      <x:c r="F21" s="146" t="n">
        <x:v>5</x:v>
      </x:c>
      <x:c r="G21" s="147" t="n">
        <x:f>F21/10*$D21</x:f>
        <x:v>0.025</x:v>
      </x:c>
      <x:c r="H21" s="148" t="str">
        <x:v>Le calcul est simple à vérifier, mais aucun résultat de vérification indépendante n’est fourni à ce stade.</x:v>
      </x:c>
      <x:c r="I21" s="140"/>
      <x:c r="J21" s="149" t="n">
        <x:v>5</x:v>
      </x:c>
      <x:c r="K21" s="150" t="n">
        <x:f>J21/10*$D21</x:f>
        <x:v>0.025</x:v>
      </x:c>
      <x:c r="L21" s="151" t="str">
        <x:v>L’innovation pré-correction est vérifiable, mais aucun résultat de V&amp;V indépendant n’est encore fourni.</x:v>
      </x:c>
      <x:c r="M21" s="140"/>
      <x:c r="N21" s="152" t="n">
        <x:v>5</x:v>
      </x:c>
      <x:c r="O21" s="153" t="n">
        <x:f>N21/10*$D21</x:f>
        <x:v>0.025</x:v>
      </x:c>
      <x:c r="P21" s="154" t="str">
        <x:v>Les relations et leur domaine de validité doivent être justifiés et testés; aucune campagne indépendante n’est fournie.</x:v>
      </x:c>
    </x:row>
    <x:row r="22" ht="28" customHeight="1">
      <x:c r="A22" s="137"/>
      <x:c r="B22" s="138" t="str">
        <x:v>F5</x:v>
      </x:c>
      <x:c r="C22" s="138" t="str">
        <x:v>Faisabilité</x:v>
      </x:c>
      <x:c r="D22" s="139" t="n">
        <x:v>0.1</x:v>
      </x:c>
      <x:c r="E22" s="140"/>
      <x:c r="F22" s="141" t="n">
        <x:f>SUM(F23:F24)</x:f>
        <x:v>15</x:v>
      </x:c>
      <x:c r="G22" s="142" t="n">
        <x:f>SUM(G23:G24)</x:f>
        <x:v>0.07500000000000001</x:v>
      </x:c>
      <x:c r="H22" s="138" t="str">
        <x:v>Sous-total de la fonctionnalité</x:v>
      </x:c>
      <x:c r="I22" s="140"/>
      <x:c r="J22" s="141" t="n">
        <x:f>SUM(J23:J24)</x:f>
        <x:v>12.5</x:v>
      </x:c>
      <x:c r="K22" s="142" t="n">
        <x:f>SUM(K23:K24)</x:f>
        <x:v>0.0625</x:v>
      </x:c>
      <x:c r="L22" s="138" t="str">
        <x:v>Sous-total de la fonctionnalité</x:v>
      </x:c>
      <x:c r="M22" s="140"/>
      <x:c r="N22" s="141" t="n">
        <x:f>SUM(N23:N24)</x:f>
        <x:v>15</x:v>
      </x:c>
      <x:c r="O22" s="142" t="n">
        <x:f>SUM(O23:O24)</x:f>
        <x:v>0.07500000000000001</x:v>
      </x:c>
      <x:c r="P22" s="143" t="str">
        <x:v>Sous-total de la fonctionnalité</x:v>
      </x:c>
    </x:row>
    <x:row r="23" ht="54" customHeight="1">
      <x:c r="A23" s="144" t="n">
        <x:v>3</x:v>
      </x:c>
      <x:c r="B23" s="140" t="str">
        <x:v>C10</x:v>
      </x:c>
      <x:c r="C23" s="140" t="str">
        <x:v>Effort de développement et d’intégration</x:v>
      </x:c>
      <x:c r="D23" s="145" t="n">
        <x:v>0.05</x:v>
      </x:c>
      <x:c r="E23" s="140"/>
      <x:c r="F23" s="146" t="n">
        <x:v>7.5</x:v>
      </x:c>
      <x:c r="G23" s="147" t="n">
        <x:f>F23/10*$D23</x:f>
        <x:v>0.037500000000000006</x:v>
      </x:c>
      <x:c r="H23" s="148" t="str">
        <x:v>Architecture relativement simple : référence parallèle, comparateur et calcul de résidus.</x:v>
      </x:c>
      <x:c r="I23" s="140"/>
      <x:c r="J23" s="149" t="n">
        <x:v>5</x:v>
      </x:c>
      <x:c r="K23" s="150" t="n">
        <x:f>J23/10*$D23</x:f>
        <x:v>0.025</x:v>
      </x:c>
      <x:c r="L23" s="151" t="str">
        <x:v>Architecture plus complexe : état précédent, prédiction, comparaison, recalage et gestion des mesures non fiables.</x:v>
      </x:c>
      <x:c r="M23" s="140"/>
      <x:c r="N23" s="152" t="n">
        <x:v>7.5</x:v>
      </x:c>
      <x:c r="O23" s="153" t="n">
        <x:f>N23/10*$D23</x:f>
        <x:v>0.037500000000000006</x:v>
      </x:c>
      <x:c r="P23" s="154" t="str">
        <x:v>Effort modéré : bibliothèque de relations, vérification d’applicabilité et calcul de résidus.</x:v>
      </x:c>
    </x:row>
    <x:row r="24" ht="54" customHeight="1">
      <x:c r="A24" s="144" t="n">
        <x:v>3</x:v>
      </x:c>
      <x:c r="B24" s="140" t="str">
        <x:v>C11</x:v>
      </x:c>
      <x:c r="C24" s="140" t="str">
        <x:v>Temps de calcul par cycle</x:v>
      </x:c>
      <x:c r="D24" s="145" t="n">
        <x:v>0.05</x:v>
      </x:c>
      <x:c r="E24" s="140"/>
      <x:c r="F24" s="146" t="n">
        <x:v>7.5</x:v>
      </x:c>
      <x:c r="G24" s="147" t="n">
        <x:f>F24/10*$D24</x:f>
        <x:v>0.037500000000000006</x:v>
      </x:c>
      <x:c r="H24" s="148" t="str">
        <x:v>Le calcul paraît réalisable dans le cycle, mais aucun temps mesuré n’est fourni.</x:v>
      </x:c>
      <x:c r="I24" s="140"/>
      <x:c r="J24" s="149" t="n">
        <x:v>7.5</x:v>
      </x:c>
      <x:c r="K24" s="150" t="n">
        <x:f>J24/10*$D24</x:f>
        <x:v>0.037500000000000006</x:v>
      </x:c>
      <x:c r="L24" s="151" t="str">
        <x:v>Prédiction et recalage ajoutent des opérations; aucun temps mesuré n’est fourni.</x:v>
      </x:c>
      <x:c r="M24" s="140"/>
      <x:c r="N24" s="152" t="n">
        <x:v>7.5</x:v>
      </x:c>
      <x:c r="O24" s="153" t="n">
        <x:f>N24/10*$D24</x:f>
        <x:v>0.037500000000000006</x:v>
      </x:c>
      <x:c r="P24" s="154" t="str">
        <x:v>Les relations peuvent être légères à calculer, mais aucun temps par cycle n’est mesuré.</x:v>
      </x:c>
    </x:row>
    <x:row r="25" ht="54" customHeight="1">
      <x:c r="A25" s="155"/>
      <x:c r="B25" s="156"/>
      <x:c r="C25" s="156" t="str">
        <x:v>TOTAL</x:v>
      </x:c>
      <x:c r="D25" s="157" t="n">
        <x:v>1</x:v>
      </x:c>
      <x:c r="E25" s="156"/>
      <x:c r="F25" s="158" t="n">
        <x:f>G25*10</x:f>
        <x:v>8.625</x:v>
      </x:c>
      <x:c r="G25" s="159" t="n">
        <x:f>G9+G12+G16+G19+G22</x:f>
        <x:v>0.8625</x:v>
      </x:c>
      <x:c r="H25" s="156" t="str">
        <x:v>Résultat global de présélection</x:v>
      </x:c>
      <x:c r="I25" s="156"/>
      <x:c r="J25" s="158" t="n">
        <x:f>K25*10</x:f>
        <x:v>8.5</x:v>
      </x:c>
      <x:c r="K25" s="159" t="n">
        <x:f>K9+K12+K16+K19+K22</x:f>
        <x:v>0.8500000000000001</x:v>
      </x:c>
      <x:c r="L25" s="156" t="str">
        <x:v>Résultat global de présélection</x:v>
      </x:c>
      <x:c r="M25" s="156"/>
      <x:c r="N25" s="158" t="n">
        <x:f>O25*10</x:f>
        <x:v>6.75</x:v>
      </x:c>
      <x:c r="O25" s="159" t="n">
        <x:f>O9+O12+O16+O19+O22</x:f>
        <x:v>0.675</x:v>
      </x:c>
      <x:c r="P25" s="160" t="str">
        <x:v>Résultat global de présélection</x:v>
      </x:c>
    </x:row>
    <x:row r="27">
      <x:c r="A27" s="87" t="str">
        <x:f>IF(G25=MAX(G25,K25,O25),"SOLUTION PRÉFÉRÉE À CE STADE — Concept A : Référence en boucle ouverte",IF(K25=MAX(G25,K25,O25),"SOLUTION PRÉFÉRÉE À CE STADE — Concept B : Référence recalée","SOLUTION PRÉFÉRÉE À CE STADE — Concept C : Relations invariantes"))</x:f>
        <x:v>SOLUTION PRÉFÉRÉE À CE STADE — Concept A : Référence en boucle ouverte</x:v>
      </x:c>
      <x:c r="B27" s="87"/>
      <x:c r="C27" s="87"/>
      <x:c r="D27" s="87"/>
      <x:c r="E27" s="87"/>
      <x:c r="F27" s="87"/>
      <x:c r="G27" s="87"/>
      <x:c r="H27" s="87"/>
      <x:c r="I27" s="87"/>
      <x:c r="J27" s="87"/>
      <x:c r="K27" s="87"/>
      <x:c r="L27" s="87"/>
      <x:c r="M27" s="87"/>
      <x:c r="N27" s="87"/>
      <x:c r="O27" s="87"/>
      <x:c r="P27" s="87"/>
    </x:row>
    <x:row r="28">
      <x:c r="A28" s="93" t="str">
        <x:v>L’écart entre A et B reste faible : le choix final doit donc être confirmé après validation des seuils, des budgets de temps/heures et des essais indépendants. C reste intéressant pour son interprétabilité physique, mais sa couverture de T/P/débit et des scénarios de défaillance doit être complétée et démontrée.</x:v>
      </x:c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</x:row>
    <x:row r="29">
      <x:c r="A29" s="93" t="str">
        <x:v>Règle : contribution = pointage / 10 × poids. Les pointages 10 / 7,5 / 5 / 2,5 / 0 correspondent respectivement aux niveaux 100 % / 75 % / 50 % / 25 % / rejet de la grille.</x:v>
      </x:c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</x:row>
    <x:row r="32">
      <x:c r="A32" t="str">
        <x:v>Concept</x:v>
      </x:c>
      <x:c r="B32" t="str">
        <x:v>Score</x:v>
      </x:c>
    </x:row>
    <x:row r="33">
      <x:c r="A33" t="str">
        <x:v>A</x:v>
      </x:c>
      <x:c r="B33" s="200" t="n">
        <x:f>G25</x:f>
        <x:v>0.8625</x:v>
      </x:c>
    </x:row>
    <x:row r="34">
      <x:c r="A34" t="str">
        <x:v>B</x:v>
      </x:c>
      <x:c r="B34" s="200" t="n">
        <x:f>K25</x:f>
        <x:v>0.8500000000000001</x:v>
      </x:c>
    </x:row>
    <x:row r="35">
      <x:c r="A35" t="str">
        <x:v>C</x:v>
      </x:c>
      <x:c r="B35" s="200" t="n">
        <x:f>O25</x:f>
        <x:v>0.675</x:v>
      </x:c>
    </x:row>
  </x:sheetData>
  <x:mergeCells>
    <x:mergeCell ref="A1:P1"/>
    <x:mergeCell ref="A2:P2"/>
    <x:mergeCell ref="A3:P3"/>
    <x:mergeCell ref="A5:D5"/>
    <x:mergeCell ref="F5:H5"/>
    <x:mergeCell ref="J5:L5"/>
    <x:mergeCell ref="N5:P5"/>
    <x:mergeCell ref="F6:H6"/>
    <x:mergeCell ref="J6:L6"/>
    <x:mergeCell ref="N6:P6"/>
    <x:mergeCell ref="F7:H7"/>
    <x:mergeCell ref="J7:L7"/>
    <x:mergeCell ref="N7:P7"/>
    <x:mergeCell ref="A27:P27"/>
    <x:mergeCell ref="A28:P28"/>
    <x:mergeCell ref="A29:P29"/>
  </x:mergeCells>
  <x:conditionalFormatting sqref="F10:F2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10:J24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N10:N24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2d09cd2eec564745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2" hidden="0" customWidth="1"/>
    <x:col min="3" max="3" width="58" hidden="0" customWidth="1"/>
    <x:col min="4" max="4" width="38" hidden="0" customWidth="1"/>
    <x:col min="5" max="5" width="38" hidden="0" customWidth="1"/>
    <x:col min="6" max="6" width="16" hidden="0" customWidth="1"/>
  </x:cols>
  <x:sheetData>
    <x:row r="1">
      <x:c r="A1" s="203" t="str">
        <x:v>SS-3 — Grille finale de pondération et d’évaluation des concepts</x:v>
      </x:c>
      <x:c r="B1" s="203"/>
      <x:c r="C1" s="203"/>
      <x:c r="D1" s="203"/>
      <x:c r="E1" s="203"/>
      <x:c r="F1" s="203"/>
    </x:row>
    <x:row r="2">
      <x:c r="A2" s="206" t="str">
        <x:v>Fonction : Calculer le comportement attendu et le comparer au comportement observé</x:v>
      </x:c>
      <x:c r="B2" s="206"/>
      <x:c r="C2" s="206"/>
      <x:c r="D2" s="206"/>
      <x:c r="E2" s="206"/>
      <x:c r="F2" s="206"/>
    </x:row>
    <x:row r="4">
      <x:c r="A4" s="17" t="str">
        <x:v>Critères</x:v>
      </x:c>
      <x:c r="B4" s="17" t="str">
        <x:v>Pondération</x:v>
      </x:c>
      <x:c r="C4" s="17" t="str">
        <x:v>Barème proposé</x:v>
      </x:c>
      <x:c r="D4" s="17" t="str">
        <x:v>Spécification min.</x:v>
      </x:c>
      <x:c r="E4" s="17" t="str">
        <x:v>Spécification max.</x:v>
      </x:c>
      <x:c r="F4" s="17" t="str">
        <x:v>Observations</x:v>
      </x:c>
    </x:row>
    <x:row r="5">
      <x:c r="A5" s="77" t="str">
        <x:v>Production de la comparaison</x:v>
      </x:c>
      <x:c r="B5" s="96" t="n">
        <x:v>0.3</x:v>
      </x:c>
      <x:c r="C5" s="77" t="str"/>
      <x:c r="D5" s="77" t="str"/>
      <x:c r="E5" s="77" t="str"/>
      <x:c r="F5" s="77" t="str">
        <x:v>Sous-total</x:v>
      </x:c>
    </x:row>
    <x:row r="6">
      <x:c r="A6" s="68" t="str">
        <x:v>Couverture de la température, de la pression et du débit</x:v>
      </x:c>
      <x:c r="B6" s="97" t="n">
        <x:v>0.15</x:v>
      </x:c>
      <x:c r="C6" s="68" t="str">
        <x:v>3 grandeurs = 100 % ; 2 = 50 % ; 1 = 25 % ; aucune = rejet</x:v>
      </x:c>
      <x:c r="D6" s="68" t="str">
        <x:v>Température, pression et débit couverts selon le périmètre validé</x:v>
      </x:c>
      <x:c r="E6" s="68" t="str">
        <x:v>3 grandeurs couvertes</x:v>
      </x:c>
      <x:c r="F6" s="68" t="str"/>
    </x:row>
    <x:row r="7">
      <x:c r="A7" s="68" t="str">
        <x:v>Disponibilité des résidus exploitables</x:v>
      </x:c>
      <x:c r="B7" s="97" t="n">
        <x:v>0.15</x:v>
      </x:c>
      <x:c r="C7" s="68" t="str">
        <x:v>≥99 % = 100 % ; ≥95 % = 75 % ; ≥90 % = 50 % ; ≥80 % = 25 % ; &lt;80 % = rejet</x:v>
      </x:c>
      <x:c r="D7" s="68" t="str">
        <x:v>80 % des cycles valides</x:v>
      </x:c>
      <x:c r="E7" s="68" t="str">
        <x:v>100 %</x:v>
      </x:c>
      <x:c r="F7" s="68" t="str"/>
    </x:row>
    <x:row r="8">
      <x:c r="A8" s="77" t="str">
        <x:v>Qualité des résidus</x:v>
      </x:c>
      <x:c r="B8" s="96" t="n">
        <x:v>0.3</x:v>
      </x:c>
      <x:c r="C8" s="77" t="str"/>
      <x:c r="D8" s="77" t="str"/>
      <x:c r="E8" s="77" t="str"/>
      <x:c r="F8" s="77" t="str">
        <x:v>Sous-total</x:v>
      </x:c>
    </x:row>
    <x:row r="9">
      <x:c r="A9" s="68" t="str">
        <x:v>Capacité à produire des résidus exploitables pour les scénarios de défaillance prévus</x:v>
      </x:c>
      <x:c r="B9" s="97" t="n">
        <x:v>0.1</x:v>
      </x:c>
      <x:c r="C9" s="68" t="str">
        <x:v>3/3 = 100 % ; 2/3 = 75 % ; 1/3 = 25 % ; 0/3 = rejet</x:v>
      </x:c>
      <x:c r="D9" s="68" t="str">
        <x:v>Résidu exploitable pour chacun des 3 scénarios de défaillance prévus par EX-F-02</x:v>
      </x:c>
      <x:c r="E9" s="68" t="str">
        <x:v>Résidus exploitables pour 100 % des 3 scénarios</x:v>
      </x:c>
      <x:c r="F9" s="68" t="str"/>
    </x:row>
    <x:row r="10">
      <x:c r="A10" s="68" t="str">
        <x:v>Respect des tolérances en fonctionnement sans défaut</x:v>
      </x:c>
      <x:c r="B10" s="97" t="n">
        <x:v>0.1</x:v>
      </x:c>
      <x:c r="C10" s="68" t="str">
        <x:v>≥99 % = 100 % ; ≥95 % = 75 % ; ≥90 % = 50 % ; ≥80 % = 25 % ; &lt;80 % = rejet</x:v>
      </x:c>
      <x:c r="D10" s="68" t="str">
        <x:v>80 % des comparaisons dans les tolérances prévues</x:v>
      </x:c>
      <x:c r="E10" s="68" t="str">
        <x:v>Tolérances respectées sur tous les essais</x:v>
      </x:c>
      <x:c r="F10" s="68" t="str"/>
    </x:row>
    <x:row r="11">
      <x:c r="A11" s="68" t="str">
        <x:v>Risque de masquage d’un défaut réel</x:v>
      </x:c>
      <x:c r="B11" s="97" t="n">
        <x:v>0.1</x:v>
      </x:c>
      <x:c r="C11" s="68" t="str">
        <x:v>Aucun = 100 % ; faible = 75 % ; modéré = 50 % ; élevé = 25 % ; scénario obligatoire masqué = rejet</x:v>
      </x:c>
      <x:c r="D11" s="68" t="str">
        <x:v>Aucun scénario obligatoire intrinsèquement masqué</x:v>
      </x:c>
      <x:c r="E11" s="68" t="str">
        <x:v>Aucun mécanisme de masquage significatif identifié</x:v>
      </x:c>
      <x:c r="F11" s="68" t="str"/>
    </x:row>
    <x:row r="12">
      <x:c r="A12" s="77" t="str">
        <x:v>Validité et traçabilité</x:v>
      </x:c>
      <x:c r="B12" s="96" t="n">
        <x:v>0.2</x:v>
      </x:c>
      <x:c r="C12" s="77" t="str"/>
      <x:c r="D12" s="77" t="str"/>
      <x:c r="E12" s="77" t="str"/>
      <x:c r="F12" s="77" t="str">
        <x:v>Sous-total</x:v>
      </x:c>
    </x:row>
    <x:row r="13">
      <x:c r="A13" s="68" t="str">
        <x:v>Gestion des mesures absentes, invalides ou désynchronisées</x:v>
      </x:c>
      <x:c r="B13" s="97" t="n">
        <x:v>0.1</x:v>
      </x:c>
      <x:c r="C13" s="68" t="str">
        <x:v>Tous les cas = 100 % ; partiel maîtrisé = 75 % ; partiel = 50 % ; insuffisant = 25 % ; invalide présenté valide = rejet</x:v>
      </x:c>
      <x:c r="D13" s="68" t="str">
        <x:v>Aucune donnée invalide utilisée comme donnée exploitable</x:v>
      </x:c>
      <x:c r="E13" s="68" t="str">
        <x:v>Tous les cas traités correctement</x:v>
      </x:c>
      <x:c r="F13" s="68" t="str"/>
    </x:row>
    <x:row r="14">
      <x:c r="A14" s="68" t="str">
        <x:v>Traçabilité et contexte des résidus</x:v>
      </x:c>
      <x:c r="B14" s="97" t="n">
        <x:v>0.1</x:v>
      </x:c>
      <x:c r="C14" s="68" t="str">
        <x:v>Résidu + variable + unité + horodatage + validité + référence = 100 % ; 1 info secondaire manquante = 75 % ; identification + unité + horodatage + validité = 50 % ; partiel = 25 % ; non identifiable = rejet</x:v>
      </x:c>
      <x:c r="D14" s="68" t="str">
        <x:v>Identification de la variable, unité, horodatage et validité</x:v>
      </x:c>
      <x:c r="E14" s="68" t="str">
        <x:v>Contexte complet permettant l’interprétation du résidu</x:v>
      </x:c>
      <x:c r="F14" s="68" t="str"/>
    </x:row>
    <x:row r="15">
      <x:c r="A15" s="77" t="str">
        <x:v>Indépendance et vérification</x:v>
      </x:c>
      <x:c r="B15" s="96" t="n">
        <x:v>0.1</x:v>
      </x:c>
      <x:c r="C15" s="77" t="str"/>
      <x:c r="D15" s="77" t="str"/>
      <x:c r="E15" s="77" t="str"/>
      <x:c r="F15" s="77" t="str">
        <x:v>Sous-total</x:v>
      </x:c>
    </x:row>
    <x:row r="16">
      <x:c r="A16" s="68" t="str">
        <x:v>Indépendance vis-à-vis de SS-1</x:v>
      </x:c>
      <x:c r="B16" s="97" t="n">
        <x:v>0.05</x:v>
      </x:c>
      <x:c r="C16" s="68" t="str">
        <x:v>Formalisme/code/paramètres indépendants = 100 % ; indépendance forte = 75 % ; dépendances limitées = 50 % ; forte dépendance = 25 % ; lecture états internes SS-1 = rejet</x:v>
      </x:c>
      <x:c r="D16" s="68" t="str">
        <x:v>Aucun accès aux états internes cachés de SS-1</x:v>
      </x:c>
      <x:c r="E16" s="68" t="str">
        <x:v>Indépendance complète et démontrable</x:v>
      </x:c>
      <x:c r="F16" s="68" t="str"/>
    </x:row>
    <x:row r="17">
      <x:c r="A17" s="68" t="str">
        <x:v>Vérification indépendante des calculs de résidu</x:v>
      </x:c>
      <x:c r="B17" s="97" t="n">
        <x:v>0.05</x:v>
      </x:c>
      <x:c r="C17" s="68" t="str">
        <x:v>100 % vérifiés = 100 % ; ≥75 % = 75 % ; ≥50 % = 50 % ; &gt;0 % = 25 % ; aucun = rejet</x:v>
      </x:c>
      <x:c r="D17" s="68" t="str">
        <x:v>Au moins un cas de vérification indépendant</x:v>
      </x:c>
      <x:c r="E17" s="68" t="str">
        <x:v>100 % des calculs critiques vérifiés</x:v>
      </x:c>
      <x:c r="F17" s="68" t="str"/>
    </x:row>
    <x:row r="18">
      <x:c r="A18" s="77" t="str">
        <x:v>Faisabilité</x:v>
      </x:c>
      <x:c r="B18" s="96" t="n">
        <x:v>0.1</x:v>
      </x:c>
      <x:c r="C18" s="77" t="str"/>
      <x:c r="D18" s="77" t="str"/>
      <x:c r="E18" s="77" t="str"/>
      <x:c r="F18" s="77" t="str">
        <x:v>Sous-total</x:v>
      </x:c>
    </x:row>
    <x:row r="19">
      <x:c r="A19" s="68" t="str">
        <x:v>Effort de développement et d’intégration</x:v>
      </x:c>
      <x:c r="B19" s="97" t="n">
        <x:v>0.05</x:v>
      </x:c>
      <x:c r="C19" s="68" t="str">
        <x:v>≤60 % budget = 100 % ; ≤80 % = 75 % ; ≤100 % = 50 % ; dépassement maîtrisable = 25 % ; irréalisable = rejet</x:v>
      </x:c>
      <x:c r="D19" s="68" t="str">
        <x:v>Réalisable dans le budget d’heures attribué à SS-3</x:v>
      </x:c>
      <x:c r="E19" s="68" t="str">
        <x:v>Marge suffisante dans le budget</x:v>
      </x:c>
      <x:c r="F19" s="68" t="str"/>
    </x:row>
    <x:row r="20">
      <x:c r="A20" s="68" t="str">
        <x:v>Temps de calcul par cycle</x:v>
      </x:c>
      <x:c r="B20" s="97" t="n">
        <x:v>0.05</x:v>
      </x:c>
      <x:c r="C20" s="68" t="str">
        <x:v>≤25 % budget SS-3 = 100 % ; ≤50 % = 75 % ; ≤75 % = 50 % ; ≤100 % = 25 % ; dépassement = rejet</x:v>
      </x:c>
      <x:c r="D20" s="68" t="str">
        <x:v>Respect du budget de temps attribué à SS-3</x:v>
      </x:c>
      <x:c r="E20" s="68" t="str">
        <x:v>Temps de calcul nettement inférieur au budget attribué</x:v>
      </x:c>
      <x:c r="F20" s="68" t="str"/>
    </x:row>
    <x:row r="21">
      <x:c r="A21" s="81" t="str">
        <x:v>TOTAL</x:v>
      </x:c>
      <x:c r="B21" s="98" t="n">
        <x:v>1</x:v>
      </x:c>
      <x:c r="C21" s="81" t="str"/>
      <x:c r="D21" s="81" t="str"/>
      <x:c r="E21" s="81" t="str"/>
      <x:c r="F21" s="81" t="str"/>
    </x:row>
    <x:row r="23">
      <x:c r="A23" t="str">
        <x:v>Règle d’acceptation : tout concept ne respectant pas une spécification minimale est considéré non conforme, indépendamment de son score pondéré.</x:v>
      </x:c>
    </x:row>
    <x:row r="24">
      <x:c r="A24" t="str">
        <x:v>Note : les seuils numériques, le budget d’heures et le budget de temps propres à SS-3 sont des propositions à valider collectivement avant l’évaluation finale.</x:v>
      </x:c>
    </x:row>
  </x:sheetData>
  <x:mergeCells>
    <x:mergeCell ref="A1:F1"/>
    <x:mergeCell ref="A2:F2"/>
    <x:mergeCell ref="A23:F23"/>
    <x:mergeCell ref="A24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0" hidden="0" customWidth="1"/>
    <x:col min="3" max="3" width="10" hidden="0" customWidth="1"/>
    <x:col min="4" max="4" width="46" hidden="0" customWidth="1"/>
    <x:col min="5" max="5" width="10" hidden="0" customWidth="1"/>
    <x:col min="6" max="6" width="46" hidden="0" customWidth="1"/>
    <x:col min="7" max="7" width="10" hidden="0" customWidth="1"/>
    <x:col min="8" max="8" width="46" hidden="0" customWidth="1"/>
  </x:cols>
  <x:sheetData>
    <x:row r="1">
      <x:c r="A1" s="203" t="str">
        <x:v>Justification des pointages — Concepts A, B et C</x:v>
      </x:c>
      <x:c r="B1" s="203"/>
      <x:c r="C1" s="203"/>
      <x:c r="D1" s="203"/>
      <x:c r="E1" s="203"/>
      <x:c r="F1" s="203"/>
      <x:c r="G1" s="203"/>
      <x:c r="H1" s="203"/>
    </x:row>
    <x:row r="3">
      <x:c r="A3" s="17" t="str">
        <x:v>Critère</x:v>
      </x:c>
      <x:c r="B3" s="17" t="str">
        <x:v>Poids</x:v>
      </x:c>
      <x:c r="C3" s="17" t="str">
        <x:v>Note A</x:v>
      </x:c>
      <x:c r="D3" s="17" t="str">
        <x:v>Justification A</x:v>
      </x:c>
      <x:c r="E3" s="17" t="str">
        <x:v>Note B</x:v>
      </x:c>
      <x:c r="F3" s="17" t="str">
        <x:v>Justification B</x:v>
      </x:c>
      <x:c r="G3" s="17" t="str">
        <x:v>Note C</x:v>
      </x:c>
      <x:c r="H3" s="17" t="str">
        <x:v>Justification C</x:v>
      </x:c>
    </x:row>
    <x:row r="4">
      <x:c r="A4" s="60" t="str">
        <x:v>Couverture de la température, de la pression et du débit</x:v>
      </x:c>
      <x:c r="B4" s="212" t="n">
        <x:v>0.15</x:v>
      </x:c>
      <x:c r="C4" s="214" t="n">
        <x:v>10</x:v>
      </x:c>
      <x:c r="D4" s="60" t="str">
        <x:v>Le concept A calcule explicitement les valeurs attendues de T, P et débit.</x:v>
      </x:c>
      <x:c r="E4" s="214" t="n">
        <x:v>10</x:v>
      </x:c>
      <x:c r="F4" s="60" t="str">
        <x:v>Le concept B prédit explicitement T, P et débit avant recalage.</x:v>
      </x:c>
      <x:c r="G4" s="214" t="n">
        <x:v>5</x:v>
      </x:c>
      <x:c r="H4" s="60" t="str">
        <x:v>Le concept C vérifie des relations physiques, mais ne garantit pas encore une trajectoire complète ni une couverture démontrée de T, P et débit.</x:v>
      </x:c>
    </x:row>
    <x:row r="5">
      <x:c r="A5" s="60" t="str">
        <x:v>Disponibilité des résidus exploitables</x:v>
      </x:c>
      <x:c r="B5" s="212" t="n">
        <x:v>0.15</x:v>
      </x:c>
      <x:c r="C5" s="214" t="n">
        <x:v>10</x:v>
      </x:c>
      <x:c r="D5" s="60" t="str">
        <x:v>Un résidu observé − attendu peut être produit à chaque comparaison valide.</x:v>
      </x:c>
      <x:c r="E5" s="214" t="n">
        <x:v>10</x:v>
      </x:c>
      <x:c r="F5" s="60" t="str">
        <x:v>L’innovation observé − prédit est calculée avant chaque correction valide.</x:v>
      </x:c>
      <x:c r="G5" s="214" t="n">
        <x:v>7.5</x:v>
      </x:c>
      <x:c r="H5" s="60" t="str">
        <x:v>Le résidu n’est produit que si la relation est applicable; sinon la comparaison est signalée indisponible.</x:v>
      </x:c>
    </x:row>
    <x:row r="6">
      <x:c r="A6" s="60" t="str">
        <x:v>Résidus exploitables pour les 3 scénarios de défaillance</x:v>
      </x:c>
      <x:c r="B6" s="212" t="n">
        <x:v>0.1</x:v>
      </x:c>
      <x:c r="C6" s="214" t="n">
        <x:v>7.5</x:v>
      </x:c>
      <x:c r="D6" s="60" t="str">
        <x:v>L’architecture est adaptée aux écarts persistants, mais la couverture des 3 scénarios doit encore être démontrée par essais.</x:v>
      </x:c>
      <x:c r="E6" s="214" t="n">
        <x:v>7.5</x:v>
      </x:c>
      <x:c r="F6" s="60" t="str">
        <x:v>Le résidu pré-correction est exploitable, mais la couverture effective des 3 scénarios doit encore être démontrée.</x:v>
      </x:c>
      <x:c r="G6" s="214" t="n">
        <x:v>5</x:v>
      </x:c>
      <x:c r="H6" s="60" t="str">
        <x:v>Certains défauts peuvent rester invisibles s’ils préservent les relations vérifiées; la couverture des 3 scénarios n’est donc pas démontrée.</x:v>
      </x:c>
    </x:row>
    <x:row r="7">
      <x:c r="A7" s="60" t="str">
        <x:v>Respect des tolérances en fonctionnement sans défaut</x:v>
      </x:c>
      <x:c r="B7" s="212" t="n">
        <x:v>0.1</x:v>
      </x:c>
      <x:c r="C7" s="214" t="n">
        <x:v>7.5</x:v>
      </x:c>
      <x:c r="D7" s="60" t="str">
        <x:v>Une erreur du modèle de référence peut créer un résidu persistant sans défaillance.</x:v>
      </x:c>
      <x:c r="E7" s="214" t="n">
        <x:v>10</x:v>
      </x:c>
      <x:c r="F7" s="60" t="str">
        <x:v>Le recalage limite l’accumulation des erreurs de modèle et maintient l’estimation proche des mesures.</x:v>
      </x:c>
      <x:c r="G7" s="214" t="n">
        <x:v>7.5</x:v>
      </x:c>
      <x:c r="H7" s="60" t="str">
        <x:v>Les erreurs de mesure et les simplifications des relations peuvent produire un résidu non nul sans défaillance.</x:v>
      </x:c>
    </x:row>
    <x:row r="8">
      <x:c r="A8" s="60" t="str">
        <x:v>Risque de masquage d’un défaut réel</x:v>
      </x:c>
      <x:c r="B8" s="212" t="n">
        <x:v>0.1</x:v>
      </x:c>
      <x:c r="C8" s="214" t="n">
        <x:v>10</x:v>
      </x:c>
      <x:c r="D8" s="60" t="str">
        <x:v>La référence n’est jamais corrigée par les mesures; une dérive réelle reste visible.</x:v>
      </x:c>
      <x:c r="E8" s="214" t="n">
        <x:v>5</x:v>
      </x:c>
      <x:c r="F8" s="60" t="str">
        <x:v>Le recalage peut suivre progressivement une dérive et réduire artificiellement l’écart.</x:v>
      </x:c>
      <x:c r="G8" s="214" t="n">
        <x:v>5</x:v>
      </x:c>
      <x:c r="H8" s="60" t="str">
        <x:v>Le document C précise que certains défauts peuvent rester invisibles s’ils respectent les relations vérifiées.</x:v>
      </x:c>
    </x:row>
    <x:row r="9">
      <x:c r="A9" s="60" t="str">
        <x:v>Gestion des mesures absentes, invalides ou désynchronisées</x:v>
      </x:c>
      <x:c r="B9" s="212" t="n">
        <x:v>0.1</x:v>
      </x:c>
      <x:c r="C9" s="214" t="n">
        <x:v>7.5</x:v>
      </x:c>
      <x:c r="D9" s="60" t="str">
        <x:v>A reçoit des mesures horodatées et qualifiées de SS-2, mais la stratégie détaillée de suspension n’est pas explicitée.</x:v>
      </x:c>
      <x:c r="E9" s="214" t="n">
        <x:v>10</x:v>
      </x:c>
      <x:c r="F9" s="60" t="str">
        <x:v>B suspend ou adapte explicitement le recalage lorsqu’une mesure est absente ou non fiable.</x:v>
      </x:c>
      <x:c r="G9" s="214" t="n">
        <x:v>10</x:v>
      </x:c>
      <x:c r="H9" s="60" t="str">
        <x:v>C vérifie explicitement disponibilité, synchronisation et compatibilité des données; une relation non évaluable est signalée indisponible.</x:v>
      </x:c>
    </x:row>
    <x:row r="10">
      <x:c r="A10" s="60" t="str">
        <x:v>Traçabilité et contexte des résidus</x:v>
      </x:c>
      <x:c r="B10" s="212" t="n">
        <x:v>0.1</x:v>
      </x:c>
      <x:c r="C10" s="214" t="n">
        <x:v>10</x:v>
      </x:c>
      <x:c r="D10" s="60" t="str">
        <x:v>La sortie A transmet résidus, variables concernées, horodatage et validité.</x:v>
      </x:c>
      <x:c r="E10" s="214" t="n">
        <x:v>10</x:v>
      </x:c>
      <x:c r="F10" s="60" t="str">
        <x:v>La sortie B transmet le résidu avant correction, les variables, l’horodatage et la validité.</x:v>
      </x:c>
      <x:c r="G10" s="214" t="n">
        <x:v>7.5</x:v>
      </x:c>
      <x:c r="H10" s="60" t="str">
        <x:v>La sortie C transmet résidus, unités, variables impliquées et motifs d’indisponibilité; l’horodatage de sortie n’est pas explicitement décrit.</x:v>
      </x:c>
    </x:row>
    <x:row r="11">
      <x:c r="A11" s="60" t="str">
        <x:v>Indépendance vis-à-vis de SS-1</x:v>
      </x:c>
      <x:c r="B11" s="212" t="n">
        <x:v>0.05</x:v>
      </x:c>
      <x:c r="C11" s="214" t="n">
        <x:v>7.5</x:v>
      </x:c>
      <x:c r="D11" s="60" t="str">
        <x:v>A vise une référence indépendante, mais le document précise que cette indépendance doit encore être démontrée.</x:v>
      </x:c>
      <x:c r="E11" s="214" t="n">
        <x:v>7.5</x:v>
      </x:c>
      <x:c r="F11" s="60" t="str">
        <x:v>B utilise son propre état estimé; l’indépendance vis-à-vis des états internes de SS-1 reste à démontrer.</x:v>
      </x:c>
      <x:c r="G11" s="214" t="n">
        <x:v>7.5</x:v>
      </x:c>
      <x:c r="H11" s="60" t="str">
        <x:v>C repose sur des relations physiques générales, mais l’indépendance vis-à-vis de SS-1 n’est pas démontrée par un essai ou une revue.</x:v>
      </x:c>
    </x:row>
    <x:row r="12">
      <x:c r="A12" s="60" t="str">
        <x:v>Vérification indépendante des calculs de résidu</x:v>
      </x:c>
      <x:c r="B12" s="212" t="n">
        <x:v>0.05</x:v>
      </x:c>
      <x:c r="C12" s="214" t="n">
        <x:v>5</x:v>
      </x:c>
      <x:c r="D12" s="60" t="str">
        <x:v>Le calcul est simple à vérifier, mais aucun résultat de vérification indépendante n’est fourni à ce stade.</x:v>
      </x:c>
      <x:c r="E12" s="214" t="n">
        <x:v>5</x:v>
      </x:c>
      <x:c r="F12" s="60" t="str">
        <x:v>L’innovation pré-correction est vérifiable, mais aucun résultat de V&amp;V indépendant n’est encore fourni.</x:v>
      </x:c>
      <x:c r="G12" s="214" t="n">
        <x:v>5</x:v>
      </x:c>
      <x:c r="H12" s="60" t="str">
        <x:v>Les relations et leur domaine de validité doivent être justifiés et testés; aucune campagne indépendante n’est fournie.</x:v>
      </x:c>
    </x:row>
    <x:row r="13">
      <x:c r="A13" s="60" t="str">
        <x:v>Effort de développement et d’intégration</x:v>
      </x:c>
      <x:c r="B13" s="212" t="n">
        <x:v>0.05</x:v>
      </x:c>
      <x:c r="C13" s="214" t="n">
        <x:v>7.5</x:v>
      </x:c>
      <x:c r="D13" s="60" t="str">
        <x:v>Architecture relativement simple : référence parallèle, comparateur et calcul de résidus.</x:v>
      </x:c>
      <x:c r="E13" s="214" t="n">
        <x:v>5</x:v>
      </x:c>
      <x:c r="F13" s="60" t="str">
        <x:v>Architecture plus complexe : état précédent, prédiction, comparaison, recalage et gestion des mesures non fiables.</x:v>
      </x:c>
      <x:c r="G13" s="214" t="n">
        <x:v>7.5</x:v>
      </x:c>
      <x:c r="H13" s="60" t="str">
        <x:v>Effort modéré : bibliothèque de relations, vérification d’applicabilité et calcul de résidus.</x:v>
      </x:c>
    </x:row>
    <x:row r="14">
      <x:c r="A14" s="60" t="str">
        <x:v>Temps de calcul par cycle</x:v>
      </x:c>
      <x:c r="B14" s="212" t="n">
        <x:v>0.05</x:v>
      </x:c>
      <x:c r="C14" s="214" t="n">
        <x:v>7.5</x:v>
      </x:c>
      <x:c r="D14" s="60" t="str">
        <x:v>Le calcul paraît réalisable dans le cycle, mais aucun temps mesuré n’est fourni.</x:v>
      </x:c>
      <x:c r="E14" s="214" t="n">
        <x:v>7.5</x:v>
      </x:c>
      <x:c r="F14" s="60" t="str">
        <x:v>Prédiction et recalage ajoutent des opérations; aucun temps mesuré n’est fourni.</x:v>
      </x:c>
      <x:c r="G14" s="214" t="n">
        <x:v>7.5</x:v>
      </x:c>
      <x:c r="H14" s="60" t="str">
        <x:v>Les relations peuvent être légères à calculer, mais aucun temps par cycle n’est mesuré.</x:v>
      </x:c>
    </x:row>
    <x:row r="16">
      <x:c r="A16" t="str">
        <x:v>Sources utilisées : SS3_Concepts_A_B_Raouf(7).docx pour A/B ; conceptca(3).docx pour C ; SS3_GRILLE(7).docx pour les critères, barèmes et spécifications.</x:v>
      </x:c>
    </x:row>
    <x:row r="17">
      <x:c r="A17" t="str">
        <x:v>Interprétation : les notes sont des hypothèses de présélection argumentées à partir de l’architecture décrite. Les critères dépendant d’essais (disponibilité, vérification indépendante, temps de calcul, budgets) devront être remplacés par des mesures réelles.</x:v>
      </x:c>
    </x:row>
  </x:sheetData>
  <x:mergeCells>
    <x:mergeCell ref="A1:H1"/>
    <x:mergeCell ref="A16:H16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28" hidden="0" customWidth="1"/>
    <x:col min="5" max="5" width="40" hidden="0" customWidth="1"/>
    <x:col min="6" max="6" width="44" hidden="0" customWidth="1"/>
    <x:col min="7" max="7" width="44" hidden="0" customWidth="1"/>
  </x:cols>
  <x:sheetData>
    <x:row r="1">
      <x:c r="A1" s="203" t="str">
        <x:v>Synthèse technique des trois concepts SS-3</x:v>
      </x:c>
      <x:c r="B1" s="203"/>
      <x:c r="C1" s="203"/>
      <x:c r="D1" s="203"/>
      <x:c r="E1" s="203"/>
      <x:c r="F1" s="203"/>
      <x:c r="G1" s="203"/>
    </x:row>
    <x:row r="3">
      <x:c r="A3" s="17" t="str">
        <x:v>Concept</x:v>
      </x:c>
      <x:c r="B3" s="17" t="str">
        <x:v>Principe</x:v>
      </x:c>
      <x:c r="C3" s="17" t="str">
        <x:v>Comportement attendu</x:v>
      </x:c>
      <x:c r="D3" s="17" t="str">
        <x:v>Résidu produit</x:v>
      </x:c>
      <x:c r="E3" s="17" t="str">
        <x:v>Forces</x:v>
      </x:c>
      <x:c r="F3" s="17" t="str">
        <x:v>Limites principales</x:v>
      </x:c>
      <x:c r="G3" s="17" t="str">
        <x:v>Éléments à valider</x:v>
      </x:c>
    </x:row>
    <x:row r="4">
      <x:c r="A4" s="218" t="str">
        <x:v>A — Référence en boucle ouverte</x:v>
      </x:c>
      <x:c r="B4" s="218" t="str">
        <x:v>Modèle de référence indépendant fonctionnant en parallèle; aucune correction par les mesures.</x:v>
      </x:c>
      <x:c r="C4" s="218" t="str">
        <x:v>T, P et débit attendus à partir des conditions et paramètres du scénario.</x:v>
      </x:c>
      <x:c r="D4" s="218" t="str">
        <x:v>observé − attendu pour chaque grandeur.</x:v>
      </x:c>
      <x:c r="E4" s="218" t="str">
        <x:v>Indépendance forte; dérive réelle visible; architecture simple.</x:v>
      </x:c>
      <x:c r="F4" s="218" t="str">
        <x:v>Sensibilité aux erreurs du modèle; un écart de modèle peut ressembler à une défaillance.</x:v>
      </x:c>
      <x:c r="G4" s="218" t="str">
        <x:v>Démontrer l’indépendance vis-à-vis de SS-1; mesurer disponibilité, tolérances et temps de calcul.</x:v>
      </x:c>
    </x:row>
    <x:row r="5">
      <x:c r="A5" s="220" t="str">
        <x:v>B — Référence recalée</x:v>
      </x:c>
      <x:c r="B5" s="220" t="str">
        <x:v>Prédiction puis comparaison avant correction; état corrigé utilisé au cycle suivant.</x:v>
      </x:c>
      <x:c r="C5" s="220" t="str">
        <x:v>T, P et débit prédits à partir de l’état estimé précédent.</x:v>
      </x:c>
      <x:c r="D5" s="220" t="str">
        <x:v>innovation = observé − prédit, calculée avant recalage.</x:v>
      </x:c>
      <x:c r="E5" s="220" t="str">
        <x:v>Réduit l’accumulation des erreurs de modèle; bonne robustesse en fonctionnement normal.</x:v>
      </x:c>
      <x:c r="F5" s="220" t="str">
        <x:v>Le recalage peut absorber une dérive réelle; complexité supérieure.</x:v>
      </x:c>
      <x:c r="G5" s="220" t="str">
        <x:v>Valider le réglage du recalage, le risque de masquage, l’indépendance et le coût de calcul.</x:v>
      </x:c>
    </x:row>
    <x:row r="6">
      <x:c r="A6" s="222" t="str">
        <x:v>C — Relations invariantes</x:v>
      </x:c>
      <x:c r="B6" s="222" t="str">
        <x:v>Vérifie des relations physiques connues : bilans de masse/énergie ou autres relations applicables.</x:v>
      </x:c>
      <x:c r="C6" s="222" t="str">
        <x:v>Respect des relations physiques dans leur domaine de validité; pas forcément une trajectoire complète de chaque variable.</x:v>
      </x:c>
      <x:c r="D6" s="222" t="str">
        <x:v>Écart à chaque relation physique attendue.</x:v>
      </x:c>
      <x:c r="E6" s="222" t="str">
        <x:v>Résidus physiquement interprétables; bonne gestion de l’applicabilité et des données indisponibles.</x:v>
      </x:c>
      <x:c r="F6" s="222" t="str">
        <x:v>Cause du résidu non identifiable à elle seule; certains défauts peuvent rester invisibles; relations définitives non encore fixées.</x:v>
      </x:c>
      <x:c r="G6" s="222" t="str">
        <x:v>Définir les relations finales et points de mesure; démontrer couverture T/P/débit et des scénarios; vérifier le domaine de validité.</x:v>
      </x:c>
    </x:row>
    <x:row r="8">
      <x:c r="A8" s="225" t="str">
        <x:v>Conclusion de présélection : A obtient le meilleur score, B est très proche, et C reste pertinent comme approche physique complémentaire. La décision finale doit être confirmée après essais et validation des spécifications minimales.</x:v>
      </x:c>
      <x:c r="B8" s="225"/>
      <x:c r="C8" s="225"/>
      <x:c r="D8" s="225"/>
      <x:c r="E8" s="225"/>
      <x:c r="F8" s="225"/>
      <x:c r="G8" s="225"/>
    </x:row>
  </x:sheetData>
  <x:mergeCells>
    <x:mergeCell ref="A1:G1"/>
    <x:mergeCell ref="A8:G8"/>
  </x:mergeCells>
  <x:pageMargins left="0.7" right="0.7" top="0.75" bottom="0.75" header="0.3" footer="0.3"/>
</x:worksheet>
</file>