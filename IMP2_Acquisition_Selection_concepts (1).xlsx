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90667b7ec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élection mesures" sheetId="1" r:id="R39718b65463e4ecd"/>
    <x:sheet xmlns:r="http://schemas.openxmlformats.org/officeDocument/2006/relationships" name="Barèmes et essais" sheetId="2" r:id="R83a5f2add8ff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%"/>
    <x:numFmt numFmtId="202" formatCode="0.0"/>
    <x:numFmt numFmtId="203" formatCode="0.00"/>
  </x:numFmts>
  <x:fonts count="13">
    <x:font>
      <x:sz val="11"/>
      <x:name val="Carlito"/>
    </x:font>
    <x:font>
      <x:sz val="10"/>
      <x:color rgb="FF111111"/>
      <x:name val="Arial"/>
    </x:font>
    <x:font>
      <x:b/>
      <x:sz val="16"/>
      <x:color rgb="FF111111"/>
      <x:name val="Arial"/>
    </x:font>
    <x:font>
      <x:b/>
      <x:sz val="10"/>
      <x:color rgb="FF7F4800"/>
      <x:name val="Arial"/>
    </x:font>
    <x:font>
      <x:b/>
      <x:sz val="10"/>
      <x:color rgb="FF111111"/>
      <x:name val="Arial"/>
    </x:font>
    <x:font>
      <x:b/>
      <x:sz val="13"/>
      <x:color rgb="FF111111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55555"/>
      <x:name val="Arial"/>
    </x:font>
    <x:font>
      <x:b/>
      <x:sz val="12"/>
      <x:color rgb="FF111111"/>
      <x:name val="Arial"/>
    </x:font>
    <x:font>
      <x:b/>
      <x:sz val="12"/>
      <x:color rgb="FFFFFFFF"/>
      <x:name val="Arial"/>
    </x:font>
    <x:font>
      <x:sz val="10"/>
      <x:color rgb="FF0563C1"/>
      <x:name val="Arial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0253F"/>
      </x:patternFill>
    </x:fill>
    <x:fill>
      <x:patternFill patternType="solid">
        <x:fgColor rgb="FFEEF3E2"/>
      </x:patternFill>
    </x:fill>
    <x:fill>
      <x:patternFill patternType="solid">
        <x:fgColor rgb="FFDBD5AF"/>
      </x:patternFill>
    </x:fill>
    <x:fill>
      <x:patternFill patternType="solid">
        <x:fgColor rgb="FFDCEEF3"/>
      </x:patternFill>
    </x:fill>
    <x:fill>
      <x:patternFill patternType="solid">
        <x:fgColor rgb="FFD8D8D8"/>
      </x:patternFill>
    </x:fill>
    <x:fill>
      <x:patternFill patternType="solid">
        <x:fgColor rgb="FF000000"/>
      </x:patternFill>
    </x:fill>
    <x:fill>
      <x:patternFill patternType="solid">
        <x:fgColor rgb="FFDCE6EF"/>
      </x:patternFill>
    </x:fill>
    <x:fill>
      <x:patternFill patternType="solid">
        <x:fgColor rgb="FF10253F"/>
      </x:patternFill>
    </x:fill>
    <x:fill>
      <x:patternFill patternType="solid">
        <x:fgColor rgb="FFDCE6EF"/>
      </x:patternFill>
    </x:fill>
  </x:fills>
  <x:borders count="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9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202" fontId="7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202" fontId="7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202" fontId="7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201" fontId="4" fillId="7" borderId="0" xfId="0" applyNumberFormat="1" applyFont="1" applyFill="1" applyBorder="1" applyAlignment="1">
      <x:alignment vertical="center"/>
    </x:xf>
    <x:xf numFmtId="200" fontId="4" fillId="7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203" fontId="4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/>
    </x:xf>
    <x:xf numFmtId="201" fontId="4" fillId="7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200" fontId="4" fillId="7" borderId="4" xfId="0" applyNumberFormat="1" applyFont="1" applyFill="1" applyBorder="1" applyAlignment="1">
      <x:alignment vertical="center"/>
    </x:xf>
    <x:xf numFmtId="202" fontId="7" fillId="4" borderId="4" xfId="0" applyNumberFormat="1" applyFont="1" applyFill="1" applyBorder="1" applyAlignment="1">
      <x:alignment vertical="center" wrapText="1"/>
    </x:xf>
    <x:xf numFmtId="200" fontId="1" fillId="4" borderId="4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203" fontId="4" fillId="7" borderId="4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202" fontId="7" fillId="5" borderId="4" xfId="0" applyNumberFormat="1" applyFont="1" applyFill="1" applyBorder="1" applyAlignment="1">
      <x:alignment vertical="center" wrapText="1"/>
    </x:xf>
    <x:xf numFmtId="200" fontId="1" fillId="5" borderId="4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202" fontId="7" fillId="6" borderId="4" xfId="0" applyNumberFormat="1" applyFont="1" applyFill="1" applyBorder="1" applyAlignment="1">
      <x:alignment vertical="center" wrapText="1"/>
    </x:xf>
    <x:xf numFmtId="200" fontId="1" fillId="6" borderId="4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201" fontId="1" fillId="0" borderId="5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4" fillId="9" borderId="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11" borderId="5" xfId="0" applyNumberFormat="1" applyFont="1" applyFill="1" applyBorder="1" applyAlignment="1">
      <x:alignment wrapText="1"/>
    </x:xf>
    <x:xf numFmtId="0" fontId="12" fillId="11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74144c4c545ff" /><Relationship Type="http://schemas.openxmlformats.org/officeDocument/2006/relationships/theme" Target="/xl/theme/theme1.xml" Id="R6f4a4fdc4db449f5" /><Relationship Type="http://schemas.openxmlformats.org/officeDocument/2006/relationships/sharedStrings" Target="/xl/sharedStrings.xml" Id="R405787a65ca9407a" /><Relationship Type="http://schemas.openxmlformats.org/officeDocument/2006/relationships/worksheet" Target="/xl/worksheets/sheet1.xml" Id="R39718b65463e4ecd" /><Relationship Type="http://schemas.openxmlformats.org/officeDocument/2006/relationships/worksheet" Target="/xl/worksheets/sheet2.xml" Id="R83a5f2add8ff49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7" hidden="0" customWidth="1"/>
    <x:col min="2" max="2" width="7" hidden="0" customWidth="1"/>
    <x:col min="3" max="3" width="38" hidden="0" customWidth="1"/>
    <x:col min="4" max="4" width="9" hidden="0" customWidth="1"/>
    <x:col min="5" max="5" width="3" hidden="0" customWidth="1"/>
    <x:col min="6" max="6" width="10" hidden="0" customWidth="1"/>
    <x:col min="7" max="7" width="12" hidden="0" customWidth="1"/>
    <x:col min="8" max="8" width="43" hidden="0" customWidth="1"/>
    <x:col min="9" max="9" width="3" hidden="0" customWidth="1"/>
    <x:col min="10" max="10" width="10" hidden="0" customWidth="1"/>
    <x:col min="11" max="11" width="12" hidden="0" customWidth="1"/>
    <x:col min="12" max="12" width="43" hidden="0" customWidth="1"/>
    <x:col min="13" max="13" width="3" hidden="0" customWidth="1"/>
    <x:col min="14" max="14" width="10" hidden="0" customWidth="1"/>
    <x:col min="15" max="15" width="12" hidden="0" customWidth="1"/>
    <x:col min="16" max="16" width="43" hidden="0" customWidth="1"/>
  </x:cols>
  <x:sheetData>
    <x:row r="1" ht="34" customHeight="1">
      <x:c r="A1" s="3" t="str">
        <x:v>Étape 5 Analyse des solutions — acquisition et qualification des mesures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6" customHeight="1">
      <x:c r="A2" s="2" t="str">
        <x:v>Fonction unique : acquérir les grandeurs, les dégrader de façon réaliste et qualifier ce qui est acquis.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40" customHeight="1">
      <x:c r="A3" s="6" t="str">
        <x:v>PRÉSÉLECTION DOCUMENTAIRE — notes estimées pour les variantes précisées ci-dessous; aucune ne constitue un résultat d’essai de votre logiciel. Sources et hypothèses : onglet Barèmes et essais, à partir de la ligne 35.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7" t="str">
        <x:v>Livrable #36 — Fonction mesure
Quatre dimensions, une seule fonction</x:v>
      </x:c>
      <x:c r="B5" s="7"/>
      <x:c r="C5" s="7"/>
      <x:c r="D5" s="7"/>
      <x:c r="E5" s="57"/>
      <x:c r="F5" s="12" t="str">
        <x:v>CONCEPT A</x:v>
      </x:c>
      <x:c r="G5" s="13"/>
      <x:c r="H5" s="14"/>
      <x:c r="I5" s="57"/>
      <x:c r="J5" s="12" t="str">
        <x:v>ALTERNATIVES</x:v>
      </x:c>
      <x:c r="K5" s="13"/>
      <x:c r="L5" s="13"/>
      <x:c r="M5" s="13"/>
      <x:c r="N5" s="13"/>
      <x:c r="O5" s="13"/>
      <x:c r="P5" s="14"/>
    </x:row>
    <x:row r="6">
      <x:c r="A6" s="7"/>
      <x:c r="B6" s="7"/>
      <x:c r="C6" s="7"/>
      <x:c r="D6" s="7"/>
      <x:c r="E6" s="57"/>
      <x:c r="F6" s="18" t="n">
        <x:f>G23</x:f>
        <x:v>0.825</x:v>
      </x:c>
      <x:c r="G6" s="18"/>
      <x:c r="H6" s="18"/>
      <x:c r="I6" s="57"/>
      <x:c r="J6" s="18" t="n">
        <x:f>K23</x:f>
        <x:v>0.85</x:v>
      </x:c>
      <x:c r="K6" s="18"/>
      <x:c r="L6" s="18"/>
      <x:c r="M6" s="57"/>
      <x:c r="N6" s="18" t="n">
        <x:f>O23</x:f>
        <x:v>0.75</x:v>
      </x:c>
      <x:c r="O6" s="18"/>
      <x:c r="P6" s="18"/>
    </x:row>
    <x:row r="7">
      <x:c r="A7" s="7"/>
      <x:c r="B7" s="7"/>
      <x:c r="C7" s="7"/>
      <x:c r="D7" s="7"/>
      <x:c r="E7" s="57"/>
      <x:c r="F7" s="21" t="str">
        <x:v>A — Erreur additive par capteur</x:v>
      </x:c>
      <x:c r="G7" s="21"/>
      <x:c r="H7" s="21"/>
      <x:c r="I7" s="57"/>
      <x:c r="J7" s="23" t="str">
        <x:v>B — Chaîne de mesure physique</x:v>
      </x:c>
      <x:c r="K7" s="23"/>
      <x:c r="L7" s="23"/>
      <x:c r="M7" s="57"/>
      <x:c r="N7" s="25" t="str">
        <x:v>C — Enveloppe d’incertitude déclarée</x:v>
      </x:c>
      <x:c r="O7" s="25"/>
      <x:c r="P7" s="25"/>
    </x:row>
    <x:row r="8" ht="42" customHeight="1">
      <x:c r="A8" s="60" t="str">
        <x:v>Priorité</x:v>
      </x:c>
      <x:c r="B8" s="60" t="str">
        <x:v>N°</x:v>
      </x:c>
      <x:c r="C8" s="60" t="str">
        <x:v>Critère de décision</x:v>
      </x:c>
      <x:c r="D8" s="60" t="str">
        <x:v>Poids</x:v>
      </x:c>
      <x:c r="E8" s="58"/>
      <x:c r="F8" s="65" t="str">
        <x:v>Pointage
sur 10</x:v>
      </x:c>
      <x:c r="G8" s="65" t="str">
        <x:v>Résultat
pondéré</x:v>
      </x:c>
      <x:c r="H8" s="65" t="str">
        <x:v>Justification de la note préliminaire</x:v>
      </x:c>
      <x:c r="I8" s="58"/>
      <x:c r="J8" s="71" t="str">
        <x:v>Pointage
sur 10</x:v>
      </x:c>
      <x:c r="K8" s="71" t="str">
        <x:v>Résultat
pondéré</x:v>
      </x:c>
      <x:c r="L8" s="71" t="str">
        <x:v>Justification de la note préliminaire</x:v>
      </x:c>
      <x:c r="M8" s="58"/>
      <x:c r="N8" s="75" t="str">
        <x:v>Pointage
sur 10</x:v>
      </x:c>
      <x:c r="O8" s="75" t="str">
        <x:v>Résultat
pondéré</x:v>
      </x:c>
      <x:c r="P8" s="75" t="str">
        <x:v>Justification de la note préliminaire</x:v>
      </x:c>
    </x:row>
    <x:row r="9" ht="30" customHeight="1">
      <x:c r="A9" s="61"/>
      <x:c r="B9" s="61" t="str">
        <x:v>D1</x:v>
      </x:c>
      <x:c r="C9" s="61" t="str">
        <x:v>Acquisition</x:v>
      </x:c>
      <x:c r="D9" s="62" t="n">
        <x:f>SUM(D10,D11)</x:f>
        <x:v>0.2</x:v>
      </x:c>
      <x:c r="E9" s="59"/>
      <x:c r="F9" s="61" t="n">
        <x:f>IF(COUNT(F10,F11)=2,SUM(F10,F11),"À tester")</x:f>
        <x:v>20</x:v>
      </x:c>
      <x:c r="G9" s="66" t="n">
        <x:f>IF(COUNT(G10,G11)=2,SUM(G10,G11),"À tester")</x:f>
        <x:v>0.2</x:v>
      </x:c>
      <x:c r="H9" s="61" t="str">
        <x:v>Sous-total documentaire estimé</x:v>
      </x:c>
      <x:c r="I9" s="59"/>
      <x:c r="J9" s="61" t="n">
        <x:f>IF(COUNT(J10,J11)=2,SUM(J10,J11),"À tester")</x:f>
        <x:v>20</x:v>
      </x:c>
      <x:c r="K9" s="66" t="n">
        <x:f>IF(COUNT(K10,K11)=2,SUM(K10,K11),"À tester")</x:f>
        <x:v>0.2</x:v>
      </x:c>
      <x:c r="L9" s="61" t="str">
        <x:v>Sous-total documentaire estimé</x:v>
      </x:c>
      <x:c r="M9" s="59"/>
      <x:c r="N9" s="61" t="n">
        <x:f>IF(COUNT(N10,N11)=2,SUM(N10,N11),"À tester")</x:f>
        <x:v>20</x:v>
      </x:c>
      <x:c r="O9" s="66" t="n">
        <x:f>IF(COUNT(O10,O11)=2,SUM(O10,O11),"À tester")</x:f>
        <x:v>0.2</x:v>
      </x:c>
      <x:c r="P9" s="61" t="str">
        <x:v>Sous-total documentaire estimé</x:v>
      </x:c>
    </x:row>
    <x:row r="10" ht="92" customHeight="1">
      <x:c r="A10" s="63" t="n">
        <x:v>2</x:v>
      </x:c>
      <x:c r="B10" s="63" t="str">
        <x:v>C1</x:v>
      </x:c>
      <x:c r="C10" s="63" t="str">
        <x:v>Grandeurs T, P, Q</x:v>
      </x:c>
      <x:c r="D10" s="64" t="n">
        <x:v>0.1</x:v>
      </x:c>
      <x:c r="E10" s="58"/>
      <x:c r="F10" s="67" t="n">
        <x:v>10</x:v>
      </x:c>
      <x:c r="G10" s="68" t="n">
        <x:f>IF(F10="Rejet","Rejet",IF(ISNUMBER(F10),IF(AND(F10&gt;=0,F10&lt;=10),F10/10*$D10,"Invalide"),"À tester"))</x:f>
        <x:v>0.1</x:v>
      </x:c>
      <x:c r="H10" s="69" t="str">
        <x:v>Hypothèse commune : trois voies T/P/Q et unités explicites. Capacité prévue, sans journal de sortie fourni. Note de conception : 10.</x:v>
      </x:c>
      <x:c r="I10" s="58"/>
      <x:c r="J10" s="72" t="n">
        <x:v>10</x:v>
      </x:c>
      <x:c r="K10" s="73" t="n">
        <x:f>IF(J10="Rejet","Rejet",IF(ISNUMBER(J10),IF(AND(J10&gt;=0,J10&lt;=10),J10/10*$D10,"Invalide"),"À tester"))</x:f>
        <x:v>0.1</x:v>
      </x:c>
      <x:c r="L10" s="74" t="str">
        <x:v>Hypothèse commune : trois voies T/P/Q et unités explicites. Capacité prévue, sans journal de sortie fourni. Note de conception : 10.</x:v>
      </x:c>
      <x:c r="M10" s="58"/>
      <x:c r="N10" s="76" t="n">
        <x:v>10</x:v>
      </x:c>
      <x:c r="O10" s="77" t="n">
        <x:f>IF(N10="Rejet","Rejet",IF(ISNUMBER(N10),IF(AND(N10&gt;=0,N10&lt;=10),N10/10*$D10,"Invalide"),"À tester"))</x:f>
        <x:v>0.1</x:v>
      </x:c>
      <x:c r="P10" s="78" t="str">
        <x:v>Hypothèse commune : trois voies T/P/Q et unités explicites. Capacité prévue, sans journal de sortie fourni. Note de conception : 10.</x:v>
      </x:c>
    </x:row>
    <x:row r="11" ht="92" customHeight="1">
      <x:c r="A11" s="63" t="n">
        <x:v>2</x:v>
      </x:c>
      <x:c r="B11" s="63" t="str">
        <x:v>C2</x:v>
      </x:c>
      <x:c r="C11" s="63" t="str">
        <x:v>Horodatage et synchronisation</x:v>
      </x:c>
      <x:c r="D11" s="64" t="n">
        <x:v>0.1</x:v>
      </x:c>
      <x:c r="E11" s="58"/>
      <x:c r="F11" s="67" t="n">
        <x:v>10</x:v>
      </x:c>
      <x:c r="G11" s="68" t="n">
        <x:f>IF(F11="Rejet","Rejet",IF(ISNUMBER(F11),IF(AND(F11&gt;=0,F11&lt;=10),F11/10*$D11,"Invalide"),"À tester"))</x:f>
        <x:v>0.1</x:v>
      </x:c>
      <x:c r="H11" s="69" t="str">
        <x:v>Hypothèse commune : temps de simulation t = kΔt partagé par les trois voies; temps physique du capteur distinct du timestamp. 10 prévu. [S3]</x:v>
      </x:c>
      <x:c r="I11" s="58"/>
      <x:c r="J11" s="72" t="n">
        <x:v>10</x:v>
      </x:c>
      <x:c r="K11" s="73" t="n">
        <x:f>IF(J11="Rejet","Rejet",IF(ISNUMBER(J11),IF(AND(J11&gt;=0,J11&lt;=10),J11/10*$D11,"Invalide"),"À tester"))</x:f>
        <x:v>0.1</x:v>
      </x:c>
      <x:c r="L11" s="74" t="str">
        <x:v>Hypothèse commune : temps de simulation t = kΔt partagé par les trois voies; temps physique du capteur distinct du timestamp. 10 prévu. [S3]</x:v>
      </x:c>
      <x:c r="M11" s="58"/>
      <x:c r="N11" s="76" t="n">
        <x:v>10</x:v>
      </x:c>
      <x:c r="O11" s="77" t="n">
        <x:f>IF(N11="Rejet","Rejet",IF(ISNUMBER(N11),IF(AND(N11&gt;=0,N11&lt;=10),N11/10*$D11,"Invalide"),"À tester"))</x:f>
        <x:v>0.1</x:v>
      </x:c>
      <x:c r="P11" s="78" t="str">
        <x:v>Hypothèse commune : temps de simulation t = kΔt partagé par les trois voies; temps physique du capteur distinct du timestamp. 10 prévu. [S3]</x:v>
      </x:c>
    </x:row>
    <x:row r="12" ht="30" customHeight="1">
      <x:c r="A12" s="61"/>
      <x:c r="B12" s="61" t="str">
        <x:v>D2</x:v>
      </x:c>
      <x:c r="C12" s="61" t="str">
        <x:v>Dégradation</x:v>
      </x:c>
      <x:c r="D12" s="62" t="n">
        <x:f>SUM(D13,D14,D15)</x:f>
        <x:v>0.35</x:v>
      </x:c>
      <x:c r="E12" s="59"/>
      <x:c r="F12" s="61" t="n">
        <x:f>IF(COUNT(F13,F14,F15)=3,SUM(F13,F14,F15),"À tester")</x:f>
        <x:v>17.5</x:v>
      </x:c>
      <x:c r="G12" s="66" t="n">
        <x:f>IF(COUNT(G13,G14,G15)=3,SUM(G13,G14,G15),"À tester")</x:f>
        <x:v>0.225</x:v>
      </x:c>
      <x:c r="H12" s="61" t="str">
        <x:v>Sous-total documentaire estimé</x:v>
      </x:c>
      <x:c r="I12" s="59"/>
      <x:c r="J12" s="61" t="n">
        <x:f>IF(COUNT(J13,J14,J15)=3,SUM(J13,J14,J15),"À tester")</x:f>
        <x:v>25</x:v>
      </x:c>
      <x:c r="K12" s="66" t="n">
        <x:f>IF(COUNT(K13,K14,K15)=3,SUM(K13,K14,K15),"À tester")</x:f>
        <x:v>0.30000000000000004</x:v>
      </x:c>
      <x:c r="L12" s="61" t="str">
        <x:v>Sous-total documentaire estimé</x:v>
      </x:c>
      <x:c r="M12" s="59"/>
      <x:c r="N12" s="61" t="n">
        <x:f>IF(COUNT(N13,N14,N15)=3,SUM(N13,N14,N15),"À tester")</x:f>
        <x:v>12.5</x:v>
      </x:c>
      <x:c r="O12" s="66" t="n">
        <x:f>IF(COUNT(O13,O14,O15)=3,SUM(O13,O14,O15),"À tester")</x:f>
        <x:v>0.15000000000000002</x:v>
      </x:c>
      <x:c r="P12" s="61" t="str">
        <x:v>Sous-total documentaire estimé</x:v>
      </x:c>
    </x:row>
    <x:row r="13" ht="92" customHeight="1">
      <x:c r="A13" s="63" t="n">
        <x:v>1</x:v>
      </x:c>
      <x:c r="B13" s="63" t="str">
        <x:v>C3</x:v>
      </x:c>
      <x:c r="C13" s="63" t="str">
        <x:v>Mécanismes de dégradation</x:v>
      </x:c>
      <x:c r="D13" s="64" t="n">
        <x:v>0.15</x:v>
      </x:c>
      <x:c r="E13" s="58"/>
      <x:c r="F13" s="67" t="n">
        <x:v>10</x:v>
      </x:c>
      <x:c r="G13" s="68" t="n">
        <x:f>IF(F13="Rejet","Rejet",IF(ISNUMBER(F13),IF(AND(F13&gt;=0,F13&lt;=10),F13/10*$D13,"Invalide"),"À tester"))</x:f>
        <x:v>0.15</x:v>
      </x:c>
      <x:c r="H13" s="69" t="str">
        <x:v>Trois mécanismes proposés et réglables : biais constant, bruit blanc et bruit corrélé. Architecture additive documentée par S1; 10 prévu. Leur présence dans le code reste à vérifier.</x:v>
      </x:c>
      <x:c r="I13" s="58"/>
      <x:c r="J13" s="72" t="n">
        <x:v>10</x:v>
      </x:c>
      <x:c r="K13" s="73" t="n">
        <x:f>IF(J13="Rejet","Rejet",IF(ISNUMBER(J13),IF(AND(J13&gt;=0,J13&lt;=10),J13/10*$D13,"Invalide"),"À tester"))</x:f>
        <x:v>0.15</x:v>
      </x:c>
      <x:c r="L13" s="74" t="str">
        <x:v>Chaîne proposée : biais de transduction, bruit électronique et quantification. Trois mécanismes distincts prévus : 10; le retard dynamique est évalué séparément en C4. [S1, S2]</x:v>
      </x:c>
      <x:c r="M13" s="58"/>
      <x:c r="N13" s="76" t="n">
        <x:v>5</x:v>
      </x:c>
      <x:c r="O13" s="77" t="n">
        <x:f>IF(N13="Rejet","Rejet",IF(ISNUMBER(N13),IF(AND(N13&gt;=0,N13&lt;=10),N13/10*$D13,"Invalide"),"À tester"))</x:f>
        <x:v>0.075</x:v>
      </x:c>
      <x:c r="P13" s="78" t="str">
        <x:v>Un seul mécanisme proposé : erreur aléatoire bornée. Modifier la borne ou la loi ne constitue pas trois mécanismes distincts : 5. [S5]</x:v>
      </x:c>
    </x:row>
    <x:row r="14" ht="92" customHeight="1">
      <x:c r="A14" s="63" t="n">
        <x:v>2</x:v>
      </x:c>
      <x:c r="B14" s="63" t="str">
        <x:v>C4</x:v>
      </x:c>
      <x:c r="C14" s="63" t="str">
        <x:v>Dynamique des mesures</x:v>
      </x:c>
      <x:c r="D14" s="64" t="n">
        <x:v>0.1</x:v>
      </x:c>
      <x:c r="E14" s="58"/>
      <x:c r="F14" s="67" t="n">
        <x:v>0</x:v>
      </x:c>
      <x:c r="G14" s="68" t="n">
        <x:f>IF(F14="Rejet","Rejet",IF(ISNUMBER(F14),IF(AND(F14&gt;=0,F14&lt;=10),F14/10*$D14,"Invalide"),"À tester"))</x:f>
        <x:v>0</x:v>
      </x:c>
      <x:c r="H14" s="69" t="str">
        <x:v>Aucun filtrage de la grandeur vraie dans A. Un bruit corrélé ne représente pas la réponse dynamique du capteur : 0, sans rejet.</x:v>
      </x:c>
      <x:c r="I14" s="58"/>
      <x:c r="J14" s="72" t="n">
        <x:v>7.5</x:v>
      </x:c>
      <x:c r="K14" s="73" t="n">
        <x:f>IF(J14="Rejet","Rejet",IF(ISNUMBER(J14),IF(AND(J14&gt;=0,J14&lt;=10),J14/10*$D14,"Invalide"),"À tester"))</x:f>
        <x:v>0.07500000000000001</x:v>
      </x:c>
      <x:c r="L14" s="74" t="str">
        <x:v>Dynamique simplifiée proposée : τ dz/dt + z = x, puis mesure dégradée. Modèle de premier ordre documenté [S2], mais aucun essai E02 : 7,5, pas 10.</x:v>
      </x:c>
      <x:c r="M14" s="58"/>
      <x:c r="N14" s="76" t="n">
        <x:v>0</x:v>
      </x:c>
      <x:c r="O14" s="77" t="n">
        <x:f>IF(N14="Rejet","Rejet",IF(ISNUMBER(N14),IF(AND(N14&gt;=0,N14&lt;=10),N14/10*$D14,"Invalide"),"À tester"))</x:f>
        <x:v>0</x:v>
      </x:c>
      <x:c r="P14" s="78" t="str">
        <x:v>L’enveloppe seule ne filtre pas la grandeur vraie et ne représente pas un retard : 0. Le renouvellement du tirage ne constitue pas une dynamique de capteur.</x:v>
      </x:c>
    </x:row>
    <x:row r="15" ht="92" customHeight="1">
      <x:c r="A15" s="63" t="n">
        <x:v>2</x:v>
      </x:c>
      <x:c r="B15" s="63" t="str">
        <x:v>C5</x:v>
      </x:c>
      <x:c r="C15" s="63" t="str">
        <x:v>Paramétrage et reproductibilité</x:v>
      </x:c>
      <x:c r="D15" s="64" t="n">
        <x:v>0.1</x:v>
      </x:c>
      <x:c r="E15" s="58"/>
      <x:c r="F15" s="67" t="n">
        <x:v>7.5</x:v>
      </x:c>
      <x:c r="G15" s="68" t="n">
        <x:f>IF(F15="Rejet","Rejet",IF(ISNUMBER(F15),IF(AND(F15&gt;=0,F15&lt;=10),F15/10*$D15,"Invalide"),"À tester"))</x:f>
        <x:v>0.07500000000000001</x:v>
      </x:c>
      <x:c r="H15" s="69" t="str">
        <x:v>Paramètres et graine prévus; générateur, version et ordre des appels à conserver. Aucun essai E08 réalisé : 7,5, pas 10. [S4]</x:v>
      </x:c>
      <x:c r="I15" s="58"/>
      <x:c r="J15" s="72" t="n">
        <x:v>7.5</x:v>
      </x:c>
      <x:c r="K15" s="73" t="n">
        <x:f>IF(J15="Rejet","Rejet",IF(ISNUMBER(J15),IF(AND(J15&gt;=0,J15&lt;=10),J15/10*$D15,"Invalide"),"À tester"))</x:f>
        <x:v>0.07500000000000001</x:v>
      </x:c>
      <x:c r="L15" s="74" t="str">
        <x:v>Paramètres et graine prévus; générateur, version et ordre des appels à conserver. Aucun essai E08 réalisé : 7,5, pas 10. [S4]</x:v>
      </x:c>
      <x:c r="M15" s="58"/>
      <x:c r="N15" s="76" t="n">
        <x:v>7.5</x:v>
      </x:c>
      <x:c r="O15" s="77" t="n">
        <x:f>IF(N15="Rejet","Rejet",IF(ISNUMBER(N15),IF(AND(N15&gt;=0,N15&lt;=10),N15/10*$D15,"Invalide"),"À tester"))</x:f>
        <x:v>0.07500000000000001</x:v>
      </x:c>
      <x:c r="P15" s="78" t="str">
        <x:v>Paramètres et graine prévus; générateur, version et ordre des appels à conserver. Aucun essai E08 réalisé : 7,5, pas 10. [S4]</x:v>
      </x:c>
    </x:row>
    <x:row r="16" ht="30" customHeight="1">
      <x:c r="A16" s="61"/>
      <x:c r="B16" s="61" t="str">
        <x:v>D3</x:v>
      </x:c>
      <x:c r="C16" s="61" t="str">
        <x:v>Qualification</x:v>
      </x:c>
      <x:c r="D16" s="62" t="n">
        <x:f>SUM(D17,D18,D19)</x:f>
        <x:v>0.3</x:v>
      </x:c>
      <x:c r="E16" s="59"/>
      <x:c r="F16" s="61" t="n">
        <x:f>IF(COUNT(F17,F18,F19)=3,SUM(F17,F18,F19),"À tester")</x:f>
        <x:v>27.5</x:v>
      </x:c>
      <x:c r="G16" s="66" t="n">
        <x:f>IF(COUNT(G17,G18,G19)=3,SUM(G17,G18,G19),"À tester")</x:f>
        <x:v>0.2625</x:v>
      </x:c>
      <x:c r="H16" s="61" t="str">
        <x:v>Sous-total documentaire estimé</x:v>
      </x:c>
      <x:c r="I16" s="59"/>
      <x:c r="J16" s="61" t="n">
        <x:f>IF(COUNT(J17,J18,J19)=3,SUM(J17,J18,J19),"À tester")</x:f>
        <x:v>27.5</x:v>
      </x:c>
      <x:c r="K16" s="66" t="n">
        <x:f>IF(COUNT(K17,K18,K19)=3,SUM(K17,K18,K19),"À tester")</x:f>
        <x:v>0.2625</x:v>
      </x:c>
      <x:c r="L16" s="61" t="str">
        <x:v>Sous-total documentaire estimé</x:v>
      </x:c>
      <x:c r="M16" s="59"/>
      <x:c r="N16" s="61" t="n">
        <x:f>IF(COUNT(N17,N18,N19)=3,SUM(N17,N18,N19),"À tester")</x:f>
        <x:v>27.5</x:v>
      </x:c>
      <x:c r="O16" s="66" t="n">
        <x:f>IF(COUNT(O17,O18,O19)=3,SUM(O17,O18,O19),"À tester")</x:f>
        <x:v>0.2625</x:v>
      </x:c>
      <x:c r="P16" s="61" t="str">
        <x:v>Sous-total documentaire estimé</x:v>
      </x:c>
    </x:row>
    <x:row r="17" ht="92" customHeight="1">
      <x:c r="A17" s="63" t="n">
        <x:v>2</x:v>
      </x:c>
      <x:c r="B17" s="63" t="str">
        <x:v>C6</x:v>
      </x:c>
      <x:c r="C17" s="63" t="str">
        <x:v>Détection des données invalides</x:v>
      </x:c>
      <x:c r="D17" s="64" t="n">
        <x:v>0.1</x:v>
      </x:c>
      <x:c r="E17" s="58"/>
      <x:c r="F17" s="67" t="n">
        <x:v>10</x:v>
      </x:c>
      <x:c r="G17" s="68" t="n">
        <x:f>IF(F17="Rejet","Rejet",IF(ISNUMBER(F17),IF(AND(F17&gt;=0,F17&lt;=10),F17/10*$D17,"Invalide"),"À tester"))</x:f>
        <x:v>0.1</x:v>
      </x:c>
      <x:c r="H17" s="69" t="str">
        <x:v>Ajout commun proposé : trois contrôles (valeur absente, plage, temps non croissant ou trop ancien). 10 prévu si réalisés; E05–E07 restent à exécuter. [S3]</x:v>
      </x:c>
      <x:c r="I17" s="58"/>
      <x:c r="J17" s="72" t="n">
        <x:v>10</x:v>
      </x:c>
      <x:c r="K17" s="73" t="n">
        <x:f>IF(J17="Rejet","Rejet",IF(ISNUMBER(J17),IF(AND(J17&gt;=0,J17&lt;=10),J17/10*$D17,"Invalide"),"À tester"))</x:f>
        <x:v>0.1</x:v>
      </x:c>
      <x:c r="L17" s="74" t="str">
        <x:v>Ajout commun proposé : trois contrôles (valeur absente, plage, temps non croissant ou trop ancien). 10 prévu si réalisés; E05–E07 restent à exécuter. [S3]</x:v>
      </x:c>
      <x:c r="M17" s="58"/>
      <x:c r="N17" s="76" t="n">
        <x:v>10</x:v>
      </x:c>
      <x:c r="O17" s="77" t="n">
        <x:f>IF(N17="Rejet","Rejet",IF(ISNUMBER(N17),IF(AND(N17&gt;=0,N17&lt;=10),N17/10*$D17,"Invalide"),"À tester"))</x:f>
        <x:v>0.1</x:v>
      </x:c>
      <x:c r="P17" s="78" t="str">
        <x:v>Ajout commun proposé : trois contrôles (valeur absente, plage, temps non croissant ou trop ancien). 10 prévu si réalisés; E05–E07 restent à exécuter. [S3]</x:v>
      </x:c>
    </x:row>
    <x:row r="18" ht="92" customHeight="1">
      <x:c r="A18" s="63" t="n">
        <x:v>1</x:v>
      </x:c>
      <x:c r="B18" s="63" t="str">
        <x:v>C7</x:v>
      </x:c>
      <x:c r="C18" s="63" t="str">
        <x:v>Caractérisation des erreurs et incertitudes</x:v>
      </x:c>
      <x:c r="D18" s="64" t="n">
        <x:v>0.15</x:v>
      </x:c>
      <x:c r="E18" s="58"/>
      <x:c r="F18" s="67" t="n">
        <x:v>7.5</x:v>
      </x:c>
      <x:c r="G18" s="68" t="n">
        <x:f>IF(F18="Rejet","Rejet",IF(ISNUMBER(F18),IF(AND(F18&gt;=0,F18&lt;=10),F18/10*$D18,"Invalide"),"À tester"))</x:f>
        <x:v>0.11249999999999999</x:v>
      </x:c>
      <x:c r="H18" s="69" t="str">
        <x:v>Erreur proposée e=b+n_blanc+n_corrélé; paramètres quantifiés par voie dans la configuration. Aucune calibration fournie : 7,5 conditionnel, pas 10. [S1, S5]</x:v>
      </x:c>
      <x:c r="I18" s="58"/>
      <x:c r="J18" s="72" t="n">
        <x:v>7.5</x:v>
      </x:c>
      <x:c r="K18" s="73" t="n">
        <x:f>IF(J18="Rejet","Rejet",IF(ISNUMBER(J18),IF(AND(J18&gt;=0,J18&lt;=10),J18/10*$D18,"Invalide"),"À tester"))</x:f>
        <x:v>0.11249999999999999</x:v>
      </x:c>
      <x:c r="L18" s="74" t="str">
        <x:v>Biais, bruit et pas de quantification à déclarer par voie; propagation à documenter. Les paramètres du capteur réel ne sont pas identifiés : 7,5 conditionnel. [S5]</x:v>
      </x:c>
      <x:c r="M18" s="58"/>
      <x:c r="N18" s="76" t="n">
        <x:v>7.5</x:v>
      </x:c>
      <x:c r="O18" s="77" t="n">
        <x:f>IF(N18="Rejet","Rejet",IF(ISNUMBER(N18),IF(AND(N18&gt;=0,N18&lt;=10),N18/10*$D18,"Invalide"),"À tester"))</x:f>
        <x:v>0.11249999999999999</x:v>
      </x:c>
      <x:c r="P18" s="78" t="str">
        <x:v>Pour e uniforme sur [−a,+a], u=a/√3 si cette loi est défendable. Bornes propres au projet non justifiées : 7,5 conditionnel. Une borne seule ne prouve pas la loi. [S5]</x:v>
      </x:c>
    </x:row>
    <x:row r="19" ht="92" customHeight="1">
      <x:c r="A19" s="63" t="n">
        <x:v>3</x:v>
      </x:c>
      <x:c r="B19" s="63" t="str">
        <x:v>C8</x:v>
      </x:c>
      <x:c r="C19" s="63" t="str">
        <x:v>Traçabilité</x:v>
      </x:c>
      <x:c r="D19" s="64" t="n">
        <x:v>0.05</x:v>
      </x:c>
      <x:c r="E19" s="58"/>
      <x:c r="F19" s="67" t="n">
        <x:v>10</x:v>
      </x:c>
      <x:c r="G19" s="68" t="n">
        <x:f>IF(F19="Rejet","Rejet",IF(ISNUMBER(F19),IF(AND(F19&gt;=0,F19&lt;=10),F19/10*$D19,"Invalide"),"À tester"))</x:f>
        <x:v>0.05</x:v>
      </x:c>
      <x:c r="H19" s="69" t="str">
        <x:v>Schéma proposé : valeur, unité, temps, statut, identifiant de configuration. Cinq champs prévus : 10. Export non vérifié. [S3]</x:v>
      </x:c>
      <x:c r="I19" s="58"/>
      <x:c r="J19" s="72" t="n">
        <x:v>10</x:v>
      </x:c>
      <x:c r="K19" s="73" t="n">
        <x:f>IF(J19="Rejet","Rejet",IF(ISNUMBER(J19),IF(AND(J19&gt;=0,J19&lt;=10),J19/10*$D19,"Invalide"),"À tester"))</x:f>
        <x:v>0.05</x:v>
      </x:c>
      <x:c r="L19" s="74" t="str">
        <x:v>Schéma proposé : valeur, unité, temps, statut, identifiant de configuration. Cinq champs prévus : 10. Export non vérifié. [S3]</x:v>
      </x:c>
      <x:c r="M19" s="58"/>
      <x:c r="N19" s="76" t="n">
        <x:v>10</x:v>
      </x:c>
      <x:c r="O19" s="77" t="n">
        <x:f>IF(N19="Rejet","Rejet",IF(ISNUMBER(N19),IF(AND(N19&gt;=0,N19&lt;=10),N19/10*$D19,"Invalide"),"À tester"))</x:f>
        <x:v>0.05</x:v>
      </x:c>
      <x:c r="P19" s="78" t="str">
        <x:v>Schéma proposé : valeur, unité, temps, statut, identifiant de configuration. Cinq champs prévus : 10. Export non vérifié. [S3]</x:v>
      </x:c>
    </x:row>
    <x:row r="20" ht="30" customHeight="1">
      <x:c r="A20" s="61"/>
      <x:c r="B20" s="61" t="str">
        <x:v>D4</x:v>
      </x:c>
      <x:c r="C20" s="61" t="str">
        <x:v>Faisabilité et intégration</x:v>
      </x:c>
      <x:c r="D20" s="62" t="n">
        <x:f>SUM(D21,D22)</x:f>
        <x:v>0.15000000000000002</x:v>
      </x:c>
      <x:c r="E20" s="59"/>
      <x:c r="F20" s="61" t="n">
        <x:f>IF(COUNT(F21,F22)=2,SUM(F21,F22),"À tester")</x:f>
        <x:v>17.5</x:v>
      </x:c>
      <x:c r="G20" s="66" t="n">
        <x:f>IF(COUNT(G21,G22)=2,SUM(G21,G22),"À tester")</x:f>
        <x:v>0.1375</x:v>
      </x:c>
      <x:c r="H20" s="61" t="str">
        <x:v>Sous-total documentaire estimé</x:v>
      </x:c>
      <x:c r="I20" s="59"/>
      <x:c r="J20" s="61" t="n">
        <x:f>IF(COUNT(J21,J22)=2,SUM(J21,J22),"À tester")</x:f>
        <x:v>12.5</x:v>
      </x:c>
      <x:c r="K20" s="66" t="n">
        <x:f>IF(COUNT(K21,K22)=2,SUM(K21,K22),"À tester")</x:f>
        <x:v>0.08750000000000001</x:v>
      </x:c>
      <x:c r="L20" s="61" t="str">
        <x:v>Sous-total documentaire estimé</x:v>
      </x:c>
      <x:c r="M20" s="59"/>
      <x:c r="N20" s="61" t="n">
        <x:f>IF(COUNT(N21,N22)=2,SUM(N21,N22),"À tester")</x:f>
        <x:v>17.5</x:v>
      </x:c>
      <x:c r="O20" s="66" t="n">
        <x:f>IF(COUNT(O21,O22)=2,SUM(O21,O22),"À tester")</x:f>
        <x:v>0.1375</x:v>
      </x:c>
      <x:c r="P20" s="61" t="str">
        <x:v>Sous-total documentaire estimé</x:v>
      </x:c>
    </x:row>
    <x:row r="21" ht="92" customHeight="1">
      <x:c r="A21" s="63" t="n">
        <x:v>2</x:v>
      </x:c>
      <x:c r="B21" s="63" t="str">
        <x:v>C9</x:v>
      </x:c>
      <x:c r="C21" s="63" t="str">
        <x:v>Effort de développement et validation</x:v>
      </x:c>
      <x:c r="D21" s="64" t="n">
        <x:v>0.1</x:v>
      </x:c>
      <x:c r="E21" s="58"/>
      <x:c r="F21" s="67" t="n">
        <x:f>IF('Barèmes et essais'!G53&lt;=40,10,IF('Barèmes et essais'!G53&lt;=60,7.5,IF('Barèmes et essais'!G53&lt;=80,5,IF('Barèmes et essais'!G53&lt;=100,2.5,0))))</x:f>
        <x:v>10</x:v>
      </x:c>
      <x:c r="G21" s="68" t="n">
        <x:f>IF(F21="Rejet","Rejet",IF(ISNUMBER(F21),IF(AND(F21&gt;=0,F21&lt;=10),F21/10*$D21,"Invalide"),"À tester"))</x:f>
        <x:v>0.1</x:v>
      </x:c>
      <x:c r="H21" s="69" t="str">
        <x:v>Estimation interne : 36 h = cadrage 4 + modèle 8 + qualification/interface 8 + essais 10 + documentation 6. Hypothèse de planification, pas durée publiée ni mesurée.</x:v>
      </x:c>
      <x:c r="I21" s="58"/>
      <x:c r="J21" s="72" t="n">
        <x:f>IF('Barèmes et essais'!G54&lt;=40,10,IF('Barèmes et essais'!G54&lt;=60,7.5,IF('Barèmes et essais'!G54&lt;=80,5,IF('Barèmes et essais'!G54&lt;=100,2.5,0))))</x:f>
        <x:v>5</x:v>
      </x:c>
      <x:c r="K21" s="73" t="n">
        <x:f>IF(J21="Rejet","Rejet",IF(ISNUMBER(J21),IF(AND(J21&gt;=0,J21&lt;=10),J21/10*$D21,"Invalide"),"À tester"))</x:f>
        <x:v>0.05</x:v>
      </x:c>
      <x:c r="L21" s="74" t="str">
        <x:v>Estimation interne : 72 h = cadrage 8 + chaîne/dynamique 24 + qualification/interface 12 + essais 20 + documentation 8. Pas de donnée terrain; classe &gt;60 à 80 h : 5.</x:v>
      </x:c>
      <x:c r="M21" s="58"/>
      <x:c r="N21" s="76" t="n">
        <x:f>IF('Barèmes et essais'!G55&lt;=40,10,IF('Barèmes et essais'!G55&lt;=60,7.5,IF('Barèmes et essais'!G55&lt;=80,5,IF('Barèmes et essais'!G55&lt;=100,2.5,0))))</x:f>
        <x:v>10</x:v>
      </x:c>
      <x:c r="O21" s="77" t="n">
        <x:f>IF(N21="Rejet","Rejet",IF(ISNUMBER(N21),IF(AND(N21&gt;=0,N21&lt;=10),N21/10*$D21,"Invalide"),"À tester"))</x:f>
        <x:v>0.1</x:v>
      </x:c>
      <x:c r="P21" s="78" t="str">
        <x:v>Estimation interne : 28 h = cadrage/bornes 4 + tirage 4 + qualification/interface 8 + essais 8 + documentation 4. Hypothèse de planification : classe ≤40 h, note 10.</x:v>
      </x:c>
    </x:row>
    <x:row r="22" ht="92" customHeight="1">
      <x:c r="A22" s="63" t="n">
        <x:v>3</x:v>
      </x:c>
      <x:c r="B22" s="63" t="str">
        <x:v>C10</x:v>
      </x:c>
      <x:c r="C22" s="63" t="str">
        <x:v>Compatibilité d’intégration</x:v>
      </x:c>
      <x:c r="D22" s="64" t="n">
        <x:v>0.05</x:v>
      </x:c>
      <x:c r="E22" s="58"/>
      <x:c r="F22" s="67" t="n">
        <x:v>7.5</x:v>
      </x:c>
      <x:c r="G22" s="68" t="n">
        <x:f>IF(F22="Rejet","Rejet",IF(ISNUMBER(F22),IF(AND(F22&gt;=0,F22&lt;=10),F22/10*$D22,"Invalide"),"À tester"))</x:f>
        <x:v>0.037500000000000006</x:v>
      </x:c>
      <x:c r="H22" s="69" t="str">
        <x:v>Contrat commun proposé (T/P/Q, unités, temps, statuts, configuration), intégration partielle au stade concept : 7,5 estimé. Aucun échange bout en bout démontré. [S3]</x:v>
      </x:c>
      <x:c r="I22" s="58"/>
      <x:c r="J22" s="72" t="n">
        <x:v>7.5</x:v>
      </x:c>
      <x:c r="K22" s="73" t="n">
        <x:f>IF(J22="Rejet","Rejet",IF(ISNUMBER(J22),IF(AND(J22&gt;=0,J22&lt;=10),J22/10*$D22,"Invalide"),"À tester"))</x:f>
        <x:v>0.037500000000000006</x:v>
      </x:c>
      <x:c r="L22" s="74" t="str">
        <x:v>Contrat commun proposé (T/P/Q, unités, temps, statuts, configuration), intégration partielle au stade concept : 7,5 estimé. Aucun échange bout en bout démontré. [S3]</x:v>
      </x:c>
      <x:c r="M22" s="58"/>
      <x:c r="N22" s="76" t="n">
        <x:v>7.5</x:v>
      </x:c>
      <x:c r="O22" s="77" t="n">
        <x:f>IF(N22="Rejet","Rejet",IF(ISNUMBER(N22),IF(AND(N22&gt;=0,N22&lt;=10),N22/10*$D22,"Invalide"),"À tester"))</x:f>
        <x:v>0.037500000000000006</x:v>
      </x:c>
      <x:c r="P22" s="78" t="str">
        <x:v>Contrat commun proposé (T/P/Q, unités, temps, statuts, configuration), intégration partielle au stade concept : 7,5 estimé. Aucun échange bout en bout démontré. [S3]</x:v>
      </x:c>
    </x:row>
    <x:row r="23" ht="30" customHeight="1">
      <x:c r="A23" s="61"/>
      <x:c r="B23" s="61"/>
      <x:c r="C23" s="61" t="str">
        <x:v>TOTAL</x:v>
      </x:c>
      <x:c r="D23" s="62" t="n">
        <x:f>SUM(D9,D12,D16,D20)</x:f>
        <x:v>1</x:v>
      </x:c>
      <x:c r="E23" s="59"/>
      <x:c r="F23" s="70" t="n">
        <x:f>IF(ISNUMBER(G23),G23*10,G23)</x:f>
        <x:v>8.25</x:v>
      </x:c>
      <x:c r="G23" s="66" t="n">
        <x:f>IF(COUNTIF(F10:F22,"Rejet")&gt;0,"Rejet",IF(COUNT(G10,G11,G13,G14,G15,G17,G18,G19,G21,G22)=10,SUM(G9,G12,G16,G20),"À tester"))</x:f>
        <x:v>0.825</x:v>
      </x:c>
      <x:c r="H23" s="61" t="str">
        <x:v>A : 82,5 % — solution simple de repli.</x:v>
      </x:c>
      <x:c r="I23" s="59"/>
      <x:c r="J23" s="70" t="n">
        <x:f>IF(ISNUMBER(K23),K23*10,K23)</x:f>
        <x:v>8.5</x:v>
      </x:c>
      <x:c r="K23" s="66" t="n">
        <x:f>IF(COUNTIF(J10:J22,"Rejet")&gt;0,"Rejet",IF(COUNT(K10,K11,K13,K14,K15,K17,K18,K19,K21,K22)=10,SUM(K9,K12,K16,K20),"À tester"))</x:f>
        <x:v>0.85</x:v>
      </x:c>
      <x:c r="L23" s="61" t="str">
        <x:v>B : 85 % — premier provisoire, écart fragile.</x:v>
      </x:c>
      <x:c r="M23" s="59"/>
      <x:c r="N23" s="70" t="n">
        <x:f>IF(ISNUMBER(O23),O23*10,O23)</x:f>
        <x:v>7.5</x:v>
      </x:c>
      <x:c r="O23" s="66" t="n">
        <x:f>IF(COUNTIF(N10:N22,"Rejet")&gt;0,"Rejet",IF(COUNT(O10,O11,O13,O14,O15,O17,O18,O19,O21,O22)=10,SUM(O9,O12,O16,O20),"À tester"))</x:f>
        <x:v>0.75</x:v>
      </x:c>
      <x:c r="P23" s="61" t="str">
        <x:v>C : 75 % — option minimale sans dynamique.</x:v>
      </x:c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8" customHeight="1">
      <x:c r="A26" s="7" t="str">
        <x:v>Les quatre rubriques sont des dimensions d’évaluation d’une seule fonction. D4 harmonise le libellé F4 rencontré dans le document.</x:v>
      </x:c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</x:row>
    <x:row r="27" ht="28" customHeight="1">
      <x:c r="A27" s="7" t="str">
        <x:v>Saisir une note sur 10 conforme au barème : 100 % = 10 ; 75 % = 7,5 ; 50 % = 5 ; 25 % = 2,5 ; 0 % = 0. Les niveaux absents du barème ne sont pas autorisés.</x:v>
      </x:c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</x:row>
    <x:row r="28" ht="28" customHeight="1">
      <x:c r="A28" s="7" t="str">
        <x:v>Contribution = poids × note / 10. Les trente notes sont des estimations de conception conditionnelles aux choix décrits; les formules restent modifiables.</x:v>
      </x:c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</x:row>
    <x:row r="29" ht="28" customHeight="1">
      <x:c r="A29" s="7" t="str">
        <x:v>B arrive premier avec 85 %, contre 82,5 % pour A et 75 % pour C. Ce classement ne vaut pas validation des exigences éliminatoires.</x:v>
      </x:c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</x:row>
    <x:row r="30" ht="28" customHeight="1">
      <x:c r="A30" s="7" t="str">
        <x:v>Départage fragile : si B dépasse 80 h, son score tombe à 82,5 %, à égalité avec A. La dynamique et le budget doivent guider le choix de l’équipe.</x:v>
      </x:c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ht="28" customHeight="1">
      <x:c r="A31" s="7" t="str">
        <x:v>Les efforts de 36 h, 72 h et 28 h sont des estimations internes décomposées, sans chronométrage. Les seuils horaires du livrable restent à confirmer.</x:v>
      </x:c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</x:row>
    <x:row r="32" ht="28" customHeight="1">
      <x:c r="A32" s="7" t="str">
        <x:v>Pour un effort décimal, les classes sont interprétées sans trou : ≤40 h ; &gt;40 à 60 h ; &gt;60 à 80 h ; &gt;80 à 100 h ; &gt;100 h.</x:v>
      </x:c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</x:row>
    <x:row r="33" ht="28" customHeight="1">
      <x:c r="A33" s="79" t="str">
        <x:v>Sources : livrable #36 et recherches techniques S1–S5, consultées le 22 octobre 2026. Références complètes et limites dans Barèmes et essais.</x:v>
      </x:c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</x:sheetData>
  <x:mergeCells>
    <x:mergeCell ref="A1:P1"/>
    <x:mergeCell ref="A2:P2"/>
    <x:mergeCell ref="A3:P3"/>
    <x:mergeCell ref="A5:D7"/>
    <x:mergeCell ref="F5:H5"/>
    <x:mergeCell ref="J5:P5"/>
    <x:mergeCell ref="F7:H7"/>
    <x:mergeCell ref="J7:L7"/>
    <x:mergeCell ref="N7:P7"/>
    <x:mergeCell ref="F6:H6"/>
    <x:mergeCell ref="J6:L6"/>
    <x:mergeCell ref="N6:P6"/>
    <x:mergeCell ref="E5:E23"/>
    <x:mergeCell ref="I5:I23"/>
    <x:mergeCell ref="M6:M23"/>
    <x:mergeCell ref="A26:P26"/>
    <x:mergeCell ref="A27:P27"/>
    <x:mergeCell ref="A28:P28"/>
    <x:mergeCell ref="A29:P29"/>
    <x:mergeCell ref="A30:P30"/>
    <x:mergeCell ref="A31:P31"/>
    <x:mergeCell ref="A32:P32"/>
    <x:mergeCell ref="A33:P33"/>
  </x:mergeCells>
  <x:dataValidations count="30">
    <x:dataValidation type="list" sqref="F10">
      <x:formula1>"À tester,Rejet,2.5,5,10"</x:formula1>
    </x:dataValidation>
    <x:dataValidation type="list" sqref="J10">
      <x:formula1>"À tester,Rejet,2.5,5,10"</x:formula1>
    </x:dataValidation>
    <x:dataValidation type="list" sqref="N10">
      <x:formula1>"À tester,Rejet,2.5,5,10"</x:formula1>
    </x:dataValidation>
    <x:dataValidation type="list" sqref="F11">
      <x:formula1>"À tester,0,2.5,7.5,10"</x:formula1>
    </x:dataValidation>
    <x:dataValidation type="list" sqref="J11">
      <x:formula1>"À tester,0,2.5,7.5,10"</x:formula1>
    </x:dataValidation>
    <x:dataValidation type="list" sqref="N11">
      <x:formula1>"À tester,0,2.5,7.5,10"</x:formula1>
    </x:dataValidation>
    <x:dataValidation type="list" sqref="F13">
      <x:formula1>"À tester,Rejet,5,7.5,10"</x:formula1>
    </x:dataValidation>
    <x:dataValidation type="list" sqref="J13">
      <x:formula1>"À tester,Rejet,5,7.5,10"</x:formula1>
    </x:dataValidation>
    <x:dataValidation type="list" sqref="N13">
      <x:formula1>"À tester,Rejet,5,7.5,10"</x:formula1>
    </x:dataValidation>
    <x:dataValidation type="list" sqref="F14">
      <x:formula1>"À tester,0,2.5,7.5,10"</x:formula1>
    </x:dataValidation>
    <x:dataValidation type="list" sqref="J14">
      <x:formula1>"À tester,0,2.5,7.5,10"</x:formula1>
    </x:dataValidation>
    <x:dataValidation type="list" sqref="N14">
      <x:formula1>"À tester,0,2.5,7.5,10"</x:formula1>
    </x:dataValidation>
    <x:dataValidation type="list" sqref="F15">
      <x:formula1>"À tester,0,2.5,7.5,10"</x:formula1>
    </x:dataValidation>
    <x:dataValidation type="list" sqref="J15">
      <x:formula1>"À tester,0,2.5,7.5,10"</x:formula1>
    </x:dataValidation>
    <x:dataValidation type="list" sqref="N15">
      <x:formula1>"À tester,0,2.5,7.5,10"</x:formula1>
    </x:dataValidation>
    <x:dataValidation type="list" sqref="F17">
      <x:formula1>"À tester,0,5,7.5,10"</x:formula1>
    </x:dataValidation>
    <x:dataValidation type="list" sqref="J17">
      <x:formula1>"À tester,0,5,7.5,10"</x:formula1>
    </x:dataValidation>
    <x:dataValidation type="list" sqref="N17">
      <x:formula1>"À tester,0,5,7.5,10"</x:formula1>
    </x:dataValidation>
    <x:dataValidation type="list" sqref="F18">
      <x:formula1>"À tester,0,2.5,7.5,10"</x:formula1>
    </x:dataValidation>
    <x:dataValidation type="list" sqref="J18">
      <x:formula1>"À tester,0,2.5,7.5,10"</x:formula1>
    </x:dataValidation>
    <x:dataValidation type="list" sqref="N18">
      <x:formula1>"À tester,0,2.5,7.5,10"</x:formula1>
    </x:dataValidation>
    <x:dataValidation type="list" sqref="F19">
      <x:formula1>"À tester,0,5,10"</x:formula1>
    </x:dataValidation>
    <x:dataValidation type="list" sqref="J19">
      <x:formula1>"À tester,0,5,10"</x:formula1>
    </x:dataValidation>
    <x:dataValidation type="list" sqref="N19">
      <x:formula1>"À tester,0,5,10"</x:formula1>
    </x:dataValidation>
    <x:dataValidation type="list" sqref="F21">
      <x:formula1>"À tester,0,2.5,5,7.5,10"</x:formula1>
    </x:dataValidation>
    <x:dataValidation type="list" sqref="J21">
      <x:formula1>"À tester,0,2.5,5,7.5,10"</x:formula1>
    </x:dataValidation>
    <x:dataValidation type="list" sqref="N21">
      <x:formula1>"À tester,0,2.5,5,7.5,10"</x:formula1>
    </x:dataValidation>
    <x:dataValidation type="list" sqref="F22">
      <x:formula1>"À tester,Rejet,2.5,7.5,10"</x:formula1>
    </x:dataValidation>
    <x:dataValidation type="list" sqref="J22">
      <x:formula1>"À tester,Rejet,2.5,7.5,10"</x:formula1>
    </x:dataValidation>
    <x:dataValidation type="list" sqref="N22">
      <x:formula1>"À tester,Rejet,2.5,7.5,10"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4" hidden="0" customWidth="1"/>
    <x:col min="3" max="3" width="9" hidden="0" customWidth="1"/>
    <x:col min="4" max="4" width="80" hidden="0" customWidth="1"/>
    <x:col min="5" max="5" width="45" hidden="0" customWidth="1"/>
    <x:col min="6" max="6" width="35" hidden="0" customWidth="1"/>
    <x:col min="7" max="7" width="35" hidden="0" customWidth="1"/>
  </x:cols>
  <x:sheetData>
    <x:row r="1" ht="32" customHeight="1">
      <x:c r="A1" s="3" t="str">
        <x:v>Barèmes et preuves attendues</x:v>
      </x:c>
      <x:c r="B1" s="3"/>
      <x:c r="C1" s="3"/>
      <x:c r="D1" s="3"/>
      <x:c r="E1" s="3"/>
      <x:c r="F1" s="3"/>
      <x:c r="G1" s="3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2" t="str">
        <x:v>Référence : livrable #36, version de travail du 21 octobre 2026. Les seuils et exigences minimales sont à confirmer avec l’équipe.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32" customHeight="1">
      <x:c r="A4" s="81" t="str">
        <x:v>ID</x:v>
      </x:c>
      <x:c r="B4" s="81" t="str">
        <x:v>Critère</x:v>
      </x:c>
      <x:c r="C4" s="81" t="str">
        <x:v>Poids</x:v>
      </x:c>
      <x:c r="D4" s="81" t="str">
        <x:v>Barème original sur 100</x:v>
      </x:c>
      <x:c r="E4" s="81" t="str">
        <x:v>Preuve et essai</x:v>
      </x:c>
      <x:c r="F4" s="81" t="str">
        <x:v>Spécification minimale</x:v>
      </x:c>
      <x:c r="G4" s="81" t="str">
        <x:v>Cible favorable</x:v>
      </x:c>
      <x:c r="H4" s="2"/>
      <x:c r="I4" s="2"/>
      <x:c r="J4" s="2"/>
      <x:c r="K4" s="2"/>
      <x:c r="L4" s="2"/>
      <x:c r="M4" s="2"/>
      <x:c r="N4" s="2"/>
      <x:c r="O4" s="2"/>
      <x:c r="P4" s="2"/>
    </x:row>
    <x:row r="5" ht="62" customHeight="1">
      <x:c r="A5" s="82" t="str">
        <x:v>C1</x:v>
      </x:c>
      <x:c r="B5" s="82" t="str">
        <x:v>Grandeurs T, P, Q</x:v>
      </x:c>
      <x:c r="C5" s="83" t="n">
        <x:f>'Sélection mesures'!D10</x:f>
        <x:v>0.1</x:v>
      </x:c>
      <x:c r="D5" s="82" t="str">
        <x:v>3 grandeurs : 100 % ; 2 : 50 % ; 1 : 25 % ; 0 : rejet.</x:v>
      </x:c>
      <x:c r="E5" s="82" t="str">
        <x:v>E01 : trois flux et unités. Journal et schéma d’interface.</x:v>
      </x:c>
      <x:c r="F5" s="82" t="str">
        <x:v>3 grandeurs</x:v>
      </x:c>
      <x:c r="G5" s="82" t="str">
        <x:v>3 grandeurs</x:v>
      </x:c>
      <x:c r="H5" s="2"/>
      <x:c r="I5" s="2"/>
      <x:c r="J5" s="2"/>
      <x:c r="K5" s="2"/>
      <x:c r="L5" s="2"/>
      <x:c r="M5" s="2"/>
      <x:c r="N5" s="2"/>
      <x:c r="O5" s="2"/>
      <x:c r="P5" s="2"/>
    </x:row>
    <x:row r="6" ht="62" customHeight="1">
      <x:c r="A6" s="82" t="str">
        <x:v>C2</x:v>
      </x:c>
      <x:c r="B6" s="82" t="str">
        <x:v>Horodatage et synchronisation</x:v>
      </x:c>
      <x:c r="C6" s="83" t="n">
        <x:f>'Sélection mesures'!D11</x:f>
        <x:v>0.1</x:v>
      </x:c>
      <x:c r="D6" s="82" t="str">
        <x:v>Horodatage commun cohérent : 100 % ; individuel cohérent : 75 % ; ordre seulement : 25 % ; aucun : 0 %.</x:v>
      </x:c>
      <x:c r="E6" s="82" t="str">
        <x:v>Comparer les timestamps sur des scénarios multivoies. Export horodaté.</x:v>
      </x:c>
      <x:c r="F6" s="82" t="str">
        <x:v>Horodatage exploitable</x:v>
      </x:c>
      <x:c r="G6" s="82" t="str">
        <x:v>Horodatage commun</x:v>
      </x:c>
      <x:c r="H6" s="2"/>
      <x:c r="I6" s="2"/>
      <x:c r="J6" s="2"/>
      <x:c r="K6" s="2"/>
      <x:c r="L6" s="2"/>
      <x:c r="M6" s="2"/>
      <x:c r="N6" s="2"/>
      <x:c r="O6" s="2"/>
      <x:c r="P6" s="2"/>
    </x:row>
    <x:row r="7" ht="62" customHeight="1">
      <x:c r="A7" s="82" t="str">
        <x:v>C3</x:v>
      </x:c>
      <x:c r="B7" s="82" t="str">
        <x:v>Mécanismes de dégradation</x:v>
      </x:c>
      <x:c r="C7" s="83" t="n">
        <x:f>'Sélection mesures'!D13</x:f>
        <x:v>0.15</x:v>
      </x:c>
      <x:c r="D7" s="82" t="str">
        <x:v>Au moins 3 mécanismes distincts : 100 % ; 2 : 75 % ; 1 : 50 % ; aucun : rejet.</x:v>
      </x:c>
      <x:c r="E7" s="82" t="str">
        <x:v>Exécuter les mécanismes distincts et configurables. Configurations et résultats E03/E04.</x:v>
      </x:c>
      <x:c r="F7" s="82" t="str">
        <x:v>Au moins un mécanisme contrôlable</x:v>
      </x:c>
      <x:c r="G7" s="82" t="str">
        <x:v>Au moins trois mécanismes</x:v>
      </x:c>
      <x:c r="H7" s="2"/>
      <x:c r="I7" s="2"/>
      <x:c r="J7" s="2"/>
      <x:c r="K7" s="2"/>
      <x:c r="L7" s="2"/>
      <x:c r="M7" s="2"/>
      <x:c r="N7" s="2"/>
      <x:c r="O7" s="2"/>
      <x:c r="P7" s="2"/>
    </x:row>
    <x:row r="8" ht="62" customHeight="1">
      <x:c r="A8" s="82" t="str">
        <x:v>C4</x:v>
      </x:c>
      <x:c r="B8" s="82" t="str">
        <x:v>Dynamique des mesures</x:v>
      </x:c>
      <x:c r="C8" s="83" t="n">
        <x:f>'Sélection mesures'!D14</x:f>
        <x:v>0.1</x:v>
      </x:c>
      <x:c r="D8" s="82" t="str">
        <x:v>Dynamique paramétrable et vérifiée : 100 % ; dynamique simplifiée : 75 % ; retard fixe : 25 % ; aucune : 0 %.</x:v>
      </x:c>
      <x:c r="E8" s="82" t="str">
        <x:v>E02 : échelon, réponse temporelle et comparaison analytique.</x:v>
      </x:c>
      <x:c r="F8" s="82" t="str">
        <x:v>Aucune exigence éliminatoire</x:v>
      </x:c>
      <x:c r="G8" s="82" t="str">
        <x:v>Modèle dynamique vérifié</x:v>
      </x:c>
      <x:c r="H8" s="2"/>
      <x:c r="I8" s="2"/>
      <x:c r="J8" s="2"/>
      <x:c r="K8" s="2"/>
      <x:c r="L8" s="2"/>
      <x:c r="M8" s="2"/>
      <x:c r="N8" s="2"/>
      <x:c r="O8" s="2"/>
      <x:c r="P8" s="2"/>
    </x:row>
    <x:row r="9" ht="62" customHeight="1">
      <x:c r="A9" s="82" t="str">
        <x:v>C5</x:v>
      </x:c>
      <x:c r="B9" s="82" t="str">
        <x:v>Paramétrage et reproductibilité</x:v>
      </x:c>
      <x:c r="C9" s="83" t="n">
        <x:f>'Sélection mesures'!D15</x:f>
        <x:v>0.1</x:v>
      </x:c>
      <x:c r="D9" s="82" t="str">
        <x:v>Paramètres réglables et essai reproductible : 100 % ; réglables seuls : 75 % ; fixes mais documentés : 25 % ; aucun : 0 %.</x:v>
      </x:c>
      <x:c r="E9" s="82" t="str">
        <x:v>E08 : deux répétitions. Conserver graine, paramètres et fichiers.</x:v>
      </x:c>
      <x:c r="F9" s="82" t="str">
        <x:v>Essais reproductibles</x:v>
      </x:c>
      <x:c r="G9" s="82" t="str">
        <x:v>Paramètres et graines enregistrés</x:v>
      </x:c>
      <x:c r="H9" s="2"/>
      <x:c r="I9" s="2"/>
      <x:c r="J9" s="2"/>
      <x:c r="K9" s="2"/>
      <x:c r="L9" s="2"/>
      <x:c r="M9" s="2"/>
      <x:c r="N9" s="2"/>
      <x:c r="O9" s="2"/>
      <x:c r="P9" s="2"/>
    </x:row>
    <x:row r="10" ht="62" customHeight="1">
      <x:c r="A10" s="82" t="str">
        <x:v>C6</x:v>
      </x:c>
      <x:c r="B10" s="82" t="str">
        <x:v>Détection des données invalides</x:v>
      </x:c>
      <x:c r="C10" s="83" t="n">
        <x:f>'Sélection mesures'!D17</x:f>
        <x:v>0.1</x:v>
      </x:c>
      <x:c r="D10" s="82" t="str">
        <x:v>Manquante, hors plage et incohérence temporelle : 100 % ; 2 types : 75 % ; 1 : 50 % ; aucun : 0 %.</x:v>
      </x:c>
      <x:c r="E10" s="82" t="str">
        <x:v>E05/E06/E07 : absence, hors-plage, timestamp incohérent. Journal des statuts.</x:v>
      </x:c>
      <x:c r="F10" s="82" t="str">
        <x:v>Signalement de donnée absente</x:v>
      </x:c>
      <x:c r="G10" s="82" t="str">
        <x:v>Trois types signalés</x:v>
      </x:c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62" customHeight="1">
      <x:c r="A11" s="82" t="str">
        <x:v>C7</x:v>
      </x:c>
      <x:c r="B11" s="82" t="str">
        <x:v>Caractérisation des erreurs et incertitudes</x:v>
      </x:c>
      <x:c r="C11" s="83" t="n">
        <x:f>'Sélection mesures'!D18</x:f>
        <x:v>0.15</x:v>
      </x:c>
      <x:c r="D11" s="82" t="str">
        <x:v>Quantifiée et justifiée : 100 % ; quantifiée mais non validée : 75 % ; qualitative : 25 % ; absente : 0 %.</x:v>
      </x:c>
      <x:c r="E11" s="82" t="str">
        <x:v>Justification du modèle et contrôle analytique ou statistique de ses limites.</x:v>
      </x:c>
      <x:c r="F11" s="82" t="str">
        <x:v>Indication des limites</x:v>
      </x:c>
      <x:c r="G11" s="82" t="str">
        <x:v>Quantification justifiée</x:v>
      </x:c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62" customHeight="1">
      <x:c r="A12" s="82" t="str">
        <x:v>C8</x:v>
      </x:c>
      <x:c r="B12" s="82" t="str">
        <x:v>Traçabilité</x:v>
      </x:c>
      <x:c r="C12" s="83" t="n">
        <x:f>'Sélection mesures'!D19</x:f>
        <x:v>0.05</x:v>
      </x:c>
      <x:c r="D12" s="82" t="str">
        <x:v>Valeur, unité, temps, statut et paramètres : 100 % ; 3 à 4 champs : 50 % ; moins de 3 : 0 %.</x:v>
      </x:c>
      <x:c r="E12" s="82" t="str">
        <x:v>Contrôler les cinq champs dans des échantillons de sortie.</x:v>
      </x:c>
      <x:c r="F12" s="82" t="str">
        <x:v>Valeur, unité, temps, statut</x:v>
      </x:c>
      <x:c r="G12" s="82" t="str">
        <x:v>Cinq champs</x:v>
      </x:c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62" customHeight="1">
      <x:c r="A13" s="82" t="str">
        <x:v>C9</x:v>
      </x:c>
      <x:c r="B13" s="82" t="str">
        <x:v>Effort de développement et validation</x:v>
      </x:c>
      <x:c r="C13" s="83" t="n">
        <x:f>'Sélection mesures'!D21</x:f>
        <x:v>0.1</x:v>
      </x:c>
      <x:c r="D13" s="82" t="str">
        <x:v>≤40 h : 100 % ; &gt;40 à 60 h : 75 % ; &gt;60 à 80 h : 50 % ; &gt;80 à 100 h : 25 % ; &gt;100 h : 0 %.</x:v>
      </x:c>
      <x:c r="E13" s="82" t="str">
        <x:v>Découpage des tâches et estimation des heures de code, intégration, tests et documentation.</x:v>
      </x:c>
      <x:c r="F13" s="82" t="str">
        <x:v>Budget d’heures approuvé</x:v>
      </x:c>
      <x:c r="G13" s="82" t="str">
        <x:v>Au plus 40 h</x:v>
      </x:c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62" customHeight="1">
      <x:c r="A14" s="82" t="str">
        <x:v>C10</x:v>
      </x:c>
      <x:c r="B14" s="82" t="str">
        <x:v>Compatibilité d’intégration</x:v>
      </x:c>
      <x:c r="C14" s="83" t="n">
        <x:f>'Sélection mesures'!D22</x:f>
        <x:v>0.05</x:v>
      </x:c>
      <x:c r="D14" s="82" t="str">
        <x:v>Interface définie et testée : 100 % ; intégration partielle : 75 % ; adaptation majeure : 25 % ; incompatible : rejet.</x:v>
      </x:c>
      <x:c r="E14" s="82" t="str">
        <x:v>Test d’échange de bout en bout vers le module consommateur.</x:v>
      </x:c>
      <x:c r="F14" s="82" t="str">
        <x:v>Interface interopérable</x:v>
      </x:c>
      <x:c r="G14" s="82" t="str">
        <x:v>Intégration testée</x:v>
      </x:c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84" t="str">
        <x:v>Admissibilité : prévue dans les variantes proposées, non vérifiée par essais</x:v>
      </x:c>
      <x:c r="B17" s="84"/>
      <x:c r="C17" s="84"/>
      <x:c r="D17" s="84"/>
      <x:c r="E17" s="84"/>
      <x:c r="F17" s="84"/>
      <x:c r="G17" s="84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87" t="str">
        <x:v>N°</x:v>
      </x:c>
      <x:c r="B18" s="87" t="str">
        <x:v>Exigence essentielle</x:v>
      </x:c>
      <x:c r="C18" s="87" t="str">
        <x:v>Statut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38" customHeight="1">
      <x:c r="A19" s="82" t="n">
        <x:v>1</x:v>
      </x:c>
      <x:c r="B19" s="82" t="str">
        <x:v>Traiter T, P et Q</x:v>
      </x:c>
      <x:c r="C19" s="82" t="str">
        <x:v>À vérifier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38" customHeight="1">
      <x:c r="A20" s="82" t="n">
        <x:v>2</x:v>
      </x:c>
      <x:c r="B20" s="82" t="str">
        <x:v>Appliquer au moins une dégradation contrôlable</x:v>
      </x:c>
      <x:c r="C20" s="82" t="str">
        <x:v>À vérifier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38" customHeight="1">
      <x:c r="A21" s="82" t="n">
        <x:v>3</x:v>
      </x:c>
      <x:c r="B21" s="82" t="str">
        <x:v>Fournir un horodatage exploitable</x:v>
      </x:c>
      <x:c r="C21" s="82" t="str">
        <x:v>À vérifier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38" customHeight="1">
      <x:c r="A22" s="82" t="n">
        <x:v>4</x:v>
      </x:c>
      <x:c r="B22" s="82" t="str">
        <x:v>Signaler les données absentes ou invalides</x:v>
      </x:c>
      <x:c r="C22" s="82" t="str">
        <x:v>À vérifier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38" customHeight="1">
      <x:c r="A23" s="82" t="n">
        <x:v>5</x:v>
      </x:c>
      <x:c r="B23" s="82" t="str">
        <x:v>Échanger les mesures dans un format interopérable</x:v>
      </x:c>
      <x:c r="C23" s="82" t="str">
        <x:v>À vérifier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38" customHeight="1">
      <x:c r="A24" s="82" t="n">
        <x:v>6</x:v>
      </x:c>
      <x:c r="B24" s="82" t="str">
        <x:v>Ne commander aucune installation réelle</x:v>
      </x:c>
      <x:c r="C24" s="82" t="str">
        <x:v>À vérifier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84" t="str">
        <x:v>Notes d’application</x:v>
      </x:c>
      <x:c r="B27" s="84"/>
      <x:c r="C27" s="84"/>
      <x:c r="D27" s="84"/>
      <x:c r="E27" s="84"/>
      <x:c r="F27" s="84"/>
      <x:c r="G27" s="84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8" customHeight="1">
      <x:c r="A28" s="2" t="str">
        <x:v>La spécification maximale du document est une cible favorable, pas toujours une limite supérieure physique.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8" customHeight="1">
      <x:c r="A29" s="2" t="str">
        <x:v>Le critère T/P/Q autorise des notes partielles, mais l’admissibilité requiert les trois grandeurs. Même distinction pour les champs de traçabilité et les statuts.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8" customHeight="1">
      <x:c r="A30" s="2" t="str">
        <x:v>Le dépassement d’un plafond horaire n’est pas automatiquement éliminatoire tant que le budget impératif n’a pas été approuvé.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8" customHeight="1">
      <x:c r="A31" s="2" t="str">
        <x:v>Départage proposé en cas d’égalité : qualification des données, reproductibilité, puis coût de validation.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8" customHeight="1">
      <x:c r="A32" s="2" t="str">
        <x:v>Décisions ouvertes : fréquence, plages et unités, budget, seuils de qualification, format d’échange, scénarios et responsable des essais.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30" customHeight="1">
      <x:c r="A35" s="90" t="str">
        <x:v>Recherches, hypothèses et limites de la présélection</x:v>
      </x:c>
      <x:c r="B35" s="90"/>
      <x:c r="C35" s="90"/>
      <x:c r="D35" s="90"/>
      <x:c r="E35" s="90"/>
      <x:c r="F35" s="90"/>
      <x:c r="G35" s="90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44" customHeight="1">
      <x:c r="A36" s="7" t="str">
        <x:v>Portée : compléter le tableau pour comparer des architectures définies. Aucun code de l’équipe, certificat de capteur ou rapport E01–E08 n’a été fourni; aucun essai logiciel n’est déclaré réussi.</x:v>
      </x:c>
      <x:c r="B36" s="7"/>
      <x:c r="C36" s="7"/>
      <x:c r="D36" s="7"/>
      <x:c r="E36" s="7"/>
      <x:c r="F36" s="7"/>
      <x:c r="G36" s="7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44" customHeight="1">
      <x:c r="A37" s="7" t="str">
        <x:v>Mode de notation : les capacités prévues (T/P/Q, temps commun, contrôles et traçabilité) sont des objectifs de conception, pas des mesures. C5 et C10 restent à 75 %; B reçoit 75 % en dynamique simplifiée.</x:v>
      </x:c>
      <x:c r="B37" s="7"/>
      <x:c r="C37" s="7"/>
      <x:c r="D37" s="7"/>
      <x:c r="E37" s="7"/>
      <x:c r="F37" s="7"/>
      <x:c r="G37" s="7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44" customHeight="1">
      <x:c r="A38" s="7" t="str">
        <x:v>C7 : 75 % suppose des erreurs/bornes numériques renseignées dans la future configuration. Aucune valeur physique n’est inventée ici. Tant que cette configuration manque, cette note est une hypothèse, pas une quantification acquise.</x:v>
      </x:c>
      <x:c r="B38" s="7"/>
      <x:c r="C38" s="7"/>
      <x:c r="D38" s="7"/>
      <x:c r="E38" s="7"/>
      <x:c r="F38" s="7"/>
      <x:c r="G38" s="7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44" customHeight="1">
      <x:c r="A39" s="7" t="str">
        <x:v>[S1] MathWorks — Barometer, rubrique Description / Noise Model. Modèle additif : biais constant, bruit blanc gaussien et bruit corrélé. Analogie de modélisation seulement : cette source concerne un baromètre, pas vos capteurs T/P/Q.</x:v>
      </x:c>
      <x:c r="B39" s="7"/>
      <x:c r="C39" s="7"/>
      <x:c r="D39" s="7"/>
      <x:c r="E39" s="7"/>
      <x:c r="F39" s="7"/>
      <x:c r="G39" s="7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6" customHeight="1">
      <x:c r="A40" s="91" t="str">
        <x:v>https://www.mathworks.com/help/uav/ref/barometer.html</x:v>
      </x:c>
      <x:c r="B40" s="91"/>
      <x:c r="C40" s="91"/>
      <x:c r="D40" s="91"/>
      <x:c r="E40" s="91"/>
      <x:c r="F40" s="91"/>
      <x:c r="G40" s="91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44" customHeight="1">
      <x:c r="A41" s="7" t="str">
        <x:v>[S2] MathWorks — Temperature Control Valve (TL), équation du capteur de température : dz/dt=(x−z)/τ. Appuie la dynamique simplifiée de B, sans valider les constantes de temps de vos voies P/Q. Aucun actionneur n’est ajouté au projet.</x:v>
      </x:c>
      <x:c r="B41" s="7"/>
      <x:c r="C41" s="7"/>
      <x:c r="D41" s="7"/>
      <x:c r="E41" s="7"/>
      <x:c r="F41" s="7"/>
      <x:c r="G41" s="7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6" customHeight="1">
      <x:c r="A42" s="91" t="str">
        <x:v>https://www.mathworks.com/help/hydro/ref/temperaturecontrolvalvetl.html</x:v>
      </x:c>
      <x:c r="B42" s="91"/>
      <x:c r="C42" s="91"/>
      <x:c r="D42" s="91"/>
      <x:c r="E42" s="91"/>
      <x:c r="F42" s="91"/>
      <x:c r="G42" s="91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44" customHeight="1">
      <x:c r="A43" s="7" t="str">
        <x:v>[S3] OPC Foundation — OPC UA Part 4, §7.11.1 DataValue : valeur, statut et temps source. Référence pour structurer les échanges. Unités et configuration ajoutées par le projet; OPC UA n’est pas imposé et son adoption n’est pas déclarée.</x:v>
      </x:c>
      <x:c r="B43" s="7"/>
      <x:c r="C43" s="7"/>
      <x:c r="D43" s="7"/>
      <x:c r="E43" s="7"/>
      <x:c r="F43" s="7"/>
      <x:c r="G43" s="7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6" customHeight="1">
      <x:c r="A44" s="91" t="str">
        <x:v>https://reference.opcfoundation.org/specs/OPC-10000-4/7.11.1</x:v>
      </x:c>
      <x:c r="B44" s="91"/>
      <x:c r="C44" s="91"/>
      <x:c r="D44" s="91"/>
      <x:c r="E44" s="91"/>
      <x:c r="F44" s="91"/>
      <x:c r="G44" s="91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44" customHeight="1">
      <x:c r="A45" s="7" t="str">
        <x:v>[S4] NumPy — Compatibility policy (v2.0). Même graine, générateur, appels, paramètres et environnement sont nécessaires à la répétition des tirages. Principe retenu; Python/NumPy n’est pas imposé comme logiciel du projet.</x:v>
      </x:c>
      <x:c r="B45" s="7"/>
      <x:c r="C45" s="7"/>
      <x:c r="D45" s="7"/>
      <x:c r="E45" s="7"/>
      <x:c r="F45" s="7"/>
      <x:c r="G45" s="7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6" customHeight="1">
      <x:c r="A46" s="91" t="str">
        <x:v>https://numpy.org/doc/2.0/reference/random/compatibility.html</x:v>
      </x:c>
      <x:c r="B46" s="91"/>
      <x:c r="C46" s="91"/>
      <x:c r="D46" s="91"/>
      <x:c r="E46" s="91"/>
      <x:c r="F46" s="91"/>
      <x:c r="G46" s="91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44" customHeight="1">
      <x:c r="A47" s="7" t="str">
        <x:v>[S5] NIST — Evaluating uncertainty components: Type B. Une loi rectangulaire sur des bornes défendables donne u=a/√3. L’hypothèse de distribution doit être cohérente avec l’information disponible; une enveloppe n’est pas automatiquement validée.</x:v>
      </x:c>
      <x:c r="B47" s="7"/>
      <x:c r="C47" s="7"/>
      <x:c r="D47" s="7"/>
      <x:c r="E47" s="7"/>
      <x:c r="F47" s="7"/>
      <x:c r="G47" s="7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6" customHeight="1">
      <x:c r="A48" s="91" t="str">
        <x:v>https://pml.nist.gov/cuu/Uncertainty/typeb.html</x:v>
      </x:c>
      <x:c r="B48" s="91"/>
      <x:c r="C48" s="91"/>
      <x:c r="D48" s="91"/>
      <x:c r="E48" s="91"/>
      <x:c r="F48" s="91"/>
      <x:c r="G48" s="91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30" customHeight="1">
      <x:c r="A50" s="90" t="str">
        <x:v>Effort préliminaire — heures-personnes estimées pour cette fonction seulement</x:v>
      </x:c>
      <x:c r="B50" s="90"/>
      <x:c r="C50" s="90"/>
      <x:c r="D50" s="90"/>
      <x:c r="E50" s="90"/>
      <x:c r="F50" s="90"/>
      <x:c r="G50" s="90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44" customHeight="1">
      <x:c r="A51" s="88" t="str">
        <x:v>Périmètre identique : trois voies simulées, un contrat d’échange simple, contrôles, essais E01–E08 et documentation. Le modèle physique global, l’IHM et les autres fonctions sont exclus. Pas d’acquisition matérielle réelle.</x:v>
      </x:c>
      <x:c r="B51" s="88"/>
      <x:c r="C51" s="88"/>
      <x:c r="D51" s="88"/>
      <x:c r="E51" s="88"/>
      <x:c r="F51" s="88"/>
      <x:c r="G51" s="88"/>
    </x:row>
    <x:row r="52" ht="34" customHeight="1">
      <x:c r="A52" s="95" t="str">
        <x:v>Concept</x:v>
      </x:c>
      <x:c r="B52" s="95" t="str">
        <x:v>Cadrage</x:v>
      </x:c>
      <x:c r="C52" s="95" t="str">
        <x:v>Modèle</x:v>
      </x:c>
      <x:c r="D52" s="95" t="str">
        <x:v>Qualification / interface</x:v>
      </x:c>
      <x:c r="E52" s="95" t="str">
        <x:v>Essais</x:v>
      </x:c>
      <x:c r="F52" s="95" t="str">
        <x:v>Documentation</x:v>
      </x:c>
      <x:c r="G52" s="95" t="str">
        <x:v>Total h</x:v>
      </x:c>
    </x:row>
    <x:row r="53" ht="34" customHeight="1">
      <x:c r="A53" s="93" t="str">
        <x:v>A</x:v>
      </x:c>
      <x:c r="B53" s="93" t="n">
        <x:v>4</x:v>
      </x:c>
      <x:c r="C53" s="93" t="n">
        <x:v>8</x:v>
      </x:c>
      <x:c r="D53" s="93" t="n">
        <x:v>8</x:v>
      </x:c>
      <x:c r="E53" s="93" t="n">
        <x:v>10</x:v>
      </x:c>
      <x:c r="F53" s="93" t="n">
        <x:v>6</x:v>
      </x:c>
      <x:c r="G53" s="93" t="n">
        <x:f>SUM(B53:F53)</x:f>
        <x:v>36</x:v>
      </x:c>
    </x:row>
    <x:row r="54" ht="34" customHeight="1">
      <x:c r="A54" s="93" t="str">
        <x:v>B</x:v>
      </x:c>
      <x:c r="B54" s="93" t="n">
        <x:v>8</x:v>
      </x:c>
      <x:c r="C54" s="93" t="n">
        <x:v>24</x:v>
      </x:c>
      <x:c r="D54" s="93" t="n">
        <x:v>12</x:v>
      </x:c>
      <x:c r="E54" s="93" t="n">
        <x:v>20</x:v>
      </x:c>
      <x:c r="F54" s="93" t="n">
        <x:v>8</x:v>
      </x:c>
      <x:c r="G54" s="93" t="n">
        <x:f>SUM(B54:F54)</x:f>
        <x:v>72</x:v>
      </x:c>
    </x:row>
    <x:row r="55" ht="34" customHeight="1">
      <x:c r="A55" s="93" t="str">
        <x:v>C</x:v>
      </x:c>
      <x:c r="B55" s="93" t="n">
        <x:v>4</x:v>
      </x:c>
      <x:c r="C55" s="93" t="n">
        <x:v>4</x:v>
      </x:c>
      <x:c r="D55" s="93" t="n">
        <x:v>8</x:v>
      </x:c>
      <x:c r="E55" s="93" t="n">
        <x:v>8</x:v>
      </x:c>
      <x:c r="F55" s="93" t="n">
        <x:v>4</x:v>
      </x:c>
      <x:c r="G55" s="93" t="n">
        <x:f>SUM(B55:F55)</x:f>
        <x:v>28</x:v>
      </x:c>
    </x:row>
    <x:row r="57" ht="44" customHeight="1">
      <x:c r="A57" s="88" t="str">
        <x:v>Hypothèses : outils déjà installés, module physique fournissant T/P/Q, pas de nouvelle bibliothèque complexe, une itération de correction incluse dans les essais. Les 135 h par étudiant couvrent tout le projet, pas cette seule fonction.</x:v>
      </x:c>
      <x:c r="B57" s="88"/>
      <x:c r="C57" s="88"/>
      <x:c r="D57" s="88"/>
      <x:c r="E57" s="88"/>
      <x:c r="F57" s="88"/>
      <x:c r="G57" s="88"/>
    </x:row>
    <x:row r="58" ht="44" customHeight="1">
      <x:c r="A58" s="88" t="str">
        <x:v>Sensibilité C9 : A à 44 h reçoit 7,5 au lieu de 10 et tombe à 80 %; B à 84 h reçoit 2,5 au lieu de 5 et rejoint A nominal à 82,5 %. L’écart nominal de 2,5 points ne suffit pas à un choix définitif.</x:v>
      </x:c>
      <x:c r="B58" s="88"/>
      <x:c r="C58" s="88"/>
      <x:c r="D58" s="88"/>
      <x:c r="E58" s="88"/>
      <x:c r="F58" s="88"/>
      <x:c r="G58" s="88"/>
    </x:row>
    <x:row r="60" ht="44" customHeight="1">
      <x:c r="A60" s="88" t="str">
        <x:v>Suite pratique : adopter les variantes décrites, fixer plages et paramètres, approuver le budget, puis exécuter E01–E08. Remplacer les notes estimées par les résultats et contrôler les six exigences d’admissibilité.</x:v>
      </x:c>
      <x:c r="B60" s="88"/>
      <x:c r="C60" s="88"/>
      <x:c r="D60" s="88"/>
      <x:c r="E60" s="88"/>
      <x:c r="F60" s="88"/>
      <x:c r="G60" s="88"/>
    </x:row>
  </x:sheetData>
  <x:mergeCells>
    <x:mergeCell ref="A1:G1"/>
    <x:mergeCell ref="A2:G2"/>
    <x:mergeCell ref="A17:G17"/>
    <x:mergeCell ref="A27:G27"/>
    <x:mergeCell ref="A28:G28"/>
    <x:mergeCell ref="A29:G29"/>
    <x:mergeCell ref="A30:G30"/>
    <x:mergeCell ref="A31:G31"/>
    <x:mergeCell ref="A32:G32"/>
    <x:mergeCell ref="A35:G35"/>
    <x:mergeCell ref="A36:G36"/>
    <x:mergeCell ref="A37:G37"/>
    <x:mergeCell ref="A38:G38"/>
    <x:mergeCell ref="A39:G39"/>
    <x:mergeCell ref="A40:G40"/>
    <x:mergeCell ref="A41:G41"/>
    <x:mergeCell ref="A42:G42"/>
    <x:mergeCell ref="A43:G43"/>
    <x:mergeCell ref="A44:G44"/>
    <x:mergeCell ref="A45:G45"/>
    <x:mergeCell ref="A46:G46"/>
    <x:mergeCell ref="A47:G47"/>
    <x:mergeCell ref="A48:G48"/>
    <x:mergeCell ref="A50:G50"/>
    <x:mergeCell ref="A51:G51"/>
    <x:mergeCell ref="A57:G57"/>
    <x:mergeCell ref="A58:G58"/>
    <x:mergeCell ref="A60:G60"/>
  </x:mergeCells>
  <x:dataValidations count="6">
    <x:dataValidation type="list" sqref="C19">
      <x:formula1>"À vérifier,Respectée,Non respectée"</x:formula1>
    </x:dataValidation>
    <x:dataValidation type="list" sqref="C20">
      <x:formula1>"À vérifier,Respectée,Non respectée"</x:formula1>
    </x:dataValidation>
    <x:dataValidation type="list" sqref="C21">
      <x:formula1>"À vérifier,Respectée,Non respectée"</x:formula1>
    </x:dataValidation>
    <x:dataValidation type="list" sqref="C22">
      <x:formula1>"À vérifier,Respectée,Non respectée"</x:formula1>
    </x:dataValidation>
    <x:dataValidation type="list" sqref="C23">
      <x:formula1>"À vérifier,Respectée,Non respectée"</x:formula1>
    </x:dataValidation>
    <x:dataValidation type="list" sqref="C24">
      <x:formula1>"À vérifier,Respectée,Non respectée"</x:formula1>
    </x:dataValidation>
  </x:dataValidations>
  <x:pageMargins left="0.7" right="0.7" top="0.75" bottom="0.75" header="0.3" footer="0.3"/>
</x:worksheet>
</file>